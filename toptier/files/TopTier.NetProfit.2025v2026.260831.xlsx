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ummary" sheetId="1" state="visible" r:id="rId1"/>
    <sheet xmlns:r="http://schemas.openxmlformats.org/officeDocument/2006/relationships" name="2 The Waterfall" sheetId="2" state="visible" r:id="rId2"/>
    <sheet xmlns:r="http://schemas.openxmlformats.org/officeDocument/2006/relationships" name="3 Owner Benefit Detail" sheetId="3" state="visible" r:id="rId3"/>
    <sheet xmlns:r="http://schemas.openxmlformats.org/officeDocument/2006/relationships" name="4 2026 Build" sheetId="4" state="visible" r:id="rId4"/>
    <sheet xmlns:r="http://schemas.openxmlformats.org/officeDocument/2006/relationships" name="5 Sources and Method" sheetId="5" state="visible" r:id="rId5"/>
  </sheets>
  <definedNames/>
  <calcPr calcId="124519" fullCalcOnLoad="1"/>
</workbook>
</file>

<file path=xl/styles.xml><?xml version="1.0" encoding="utf-8"?>
<styleSheet xmlns="http://schemas.openxmlformats.org/spreadsheetml/2006/main">
  <numFmts count="3">
    <numFmt numFmtId="164" formatCode="$#,##0;($#,##0);&quot;-&quot;"/>
    <numFmt numFmtId="165" formatCode="0.00%;(0.00%);&quot;-&quot;"/>
    <numFmt numFmtId="166" formatCode="#,##0;(#,##0);&quot;-&quot;"/>
  </numFmts>
  <fonts count="10">
    <font>
      <name val="Calibri"/>
      <family val="2"/>
      <color theme="1"/>
      <sz val="11"/>
      <scheme val="minor"/>
    </font>
    <font>
      <name val="Calibri"/>
      <b val="1"/>
      <color rgb="001A3C6E"/>
      <sz val="16"/>
    </font>
    <font>
      <name val="Calibri"/>
      <i val="1"/>
      <color rgb="00555555"/>
      <sz val="10"/>
    </font>
    <font>
      <name val="Calibri"/>
      <i val="1"/>
      <color rgb="00555555"/>
      <sz val="9"/>
    </font>
    <font>
      <name val="Calibri"/>
      <b val="1"/>
      <color rgb="00FFFFFF"/>
      <sz val="10"/>
    </font>
    <font>
      <name val="Calibri"/>
      <b val="1"/>
      <color rgb="001A3C6E"/>
      <sz val="11"/>
    </font>
    <font>
      <name val="Calibri"/>
      <sz val="10"/>
    </font>
    <font>
      <name val="Calibri"/>
      <b val="1"/>
      <color rgb="001A3C6E"/>
      <sz val="10"/>
    </font>
    <font>
      <name val="Calibri"/>
      <b val="1"/>
      <color rgb="00A61B29"/>
      <sz val="10"/>
    </font>
    <font>
      <name val="Calibri"/>
      <b val="1"/>
      <sz val="10"/>
    </font>
  </fonts>
  <fills count="6">
    <fill>
      <patternFill/>
    </fill>
    <fill>
      <patternFill patternType="gray125"/>
    </fill>
    <fill>
      <patternFill patternType="solid">
        <fgColor rgb="001A3C6E"/>
      </patternFill>
    </fill>
    <fill>
      <patternFill patternType="solid">
        <fgColor rgb="00FFCD00"/>
      </patternFill>
    </fill>
    <fill>
      <patternFill patternType="solid">
        <fgColor rgb="00FAFBFC"/>
      </patternFill>
    </fill>
    <fill>
      <patternFill patternType="solid">
        <fgColor rgb="00F2F4F7"/>
      </patternFill>
    </fill>
  </fills>
  <borders count="3">
    <border>
      <left/>
      <right/>
      <top/>
      <bottom/>
      <diagonal/>
    </border>
    <border>
      <left style="thin">
        <color rgb="00D9DDE3"/>
      </left>
      <right style="thin">
        <color rgb="00D9DDE3"/>
      </right>
      <top style="thin">
        <color rgb="00D9DDE3"/>
      </top>
      <bottom style="thin">
        <color rgb="00D9DDE3"/>
      </bottom>
    </border>
    <border>
      <left style="thin">
        <color rgb="00D9DDE3"/>
      </left>
      <right style="thin">
        <color rgb="00D9DDE3"/>
      </right>
      <top style="medium">
        <color rgb="001A3C6E"/>
      </top>
      <bottom style="thin">
        <color rgb="00D9DDE3"/>
      </bottom>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left" vertical="center" wrapText="1"/>
    </xf>
    <xf numFmtId="0" fontId="4" fillId="2" borderId="1" applyAlignment="1" pivotButton="0" quotePrefix="0" xfId="0">
      <alignment horizontal="center" vertical="center" wrapText="1"/>
    </xf>
    <xf numFmtId="0" fontId="5" fillId="3" borderId="1" pivotButton="0" quotePrefix="0" xfId="0"/>
    <xf numFmtId="0" fontId="6" fillId="0" borderId="1" applyAlignment="1" pivotButton="0" quotePrefix="0" xfId="0">
      <alignment/>
    </xf>
    <xf numFmtId="164" fontId="6" fillId="0" borderId="1" applyAlignment="1" pivotButton="0" quotePrefix="0" xfId="0">
      <alignment horizontal="right"/>
    </xf>
    <xf numFmtId="0" fontId="6" fillId="4" borderId="1" applyAlignment="1" pivotButton="0" quotePrefix="0" xfId="0">
      <alignment/>
    </xf>
    <xf numFmtId="164" fontId="6" fillId="4" borderId="1" applyAlignment="1" pivotButton="0" quotePrefix="0" xfId="0">
      <alignment horizontal="right"/>
    </xf>
    <xf numFmtId="0" fontId="7" fillId="5" borderId="1" applyAlignment="1" pivotButton="0" quotePrefix="0" xfId="0">
      <alignment/>
    </xf>
    <xf numFmtId="164" fontId="7" fillId="5" borderId="1" applyAlignment="1" pivotButton="0" quotePrefix="0" xfId="0">
      <alignment horizontal="right"/>
    </xf>
    <xf numFmtId="165" fontId="7" fillId="5" borderId="1" applyAlignment="1" pivotButton="0" quotePrefix="0" xfId="0">
      <alignment horizontal="right"/>
    </xf>
    <xf numFmtId="0" fontId="7" fillId="5" borderId="2" applyAlignment="1" pivotButton="0" quotePrefix="0" xfId="0">
      <alignment/>
    </xf>
    <xf numFmtId="165" fontId="7" fillId="5" borderId="2" applyAlignment="1" pivotButton="0" quotePrefix="0" xfId="0">
      <alignment horizontal="right"/>
    </xf>
    <xf numFmtId="0" fontId="5" fillId="0" borderId="0" applyAlignment="1" pivotButton="0" quotePrefix="0" xfId="0">
      <alignment vertical="top" wrapText="1"/>
    </xf>
    <xf numFmtId="0" fontId="3" fillId="0" borderId="0" applyAlignment="1" pivotButton="0" quotePrefix="0" xfId="0">
      <alignment vertical="top" wrapText="1"/>
    </xf>
    <xf numFmtId="0" fontId="8" fillId="0" borderId="0" applyAlignment="1" pivotButton="0" quotePrefix="0" xfId="0">
      <alignment vertical="top" wrapText="1"/>
    </xf>
    <xf numFmtId="165" fontId="6" fillId="0" borderId="1" applyAlignment="1" pivotButton="0" quotePrefix="0" xfId="0">
      <alignment horizontal="right"/>
    </xf>
    <xf numFmtId="0" fontId="3" fillId="0" borderId="1" applyAlignment="1" pivotButton="0" quotePrefix="0" xfId="0">
      <alignment vertical="center" wrapText="1"/>
    </xf>
    <xf numFmtId="0" fontId="3" fillId="5" borderId="1" applyAlignment="1" pivotButton="0" quotePrefix="0" xfId="0">
      <alignment vertical="center" wrapText="1"/>
    </xf>
    <xf numFmtId="0" fontId="9" fillId="0" borderId="1" pivotButton="0" quotePrefix="0" xfId="0"/>
    <xf numFmtId="165" fontId="9" fillId="0" borderId="1" applyAlignment="1" pivotButton="0" quotePrefix="0" xfId="0">
      <alignment horizontal="right"/>
    </xf>
    <xf numFmtId="0" fontId="3" fillId="0" borderId="1" applyAlignment="1" pivotButton="0" quotePrefix="0" xfId="0">
      <alignment vertical="top" wrapText="1"/>
    </xf>
    <xf numFmtId="0" fontId="3" fillId="0" borderId="1" pivotButton="0" quotePrefix="0" xfId="0"/>
    <xf numFmtId="0" fontId="9" fillId="0" borderId="0" pivotButton="0" quotePrefix="0" xfId="0"/>
    <xf numFmtId="164" fontId="0" fillId="0" borderId="0" pivotButton="0" quotePrefix="0" xfId="0"/>
    <xf numFmtId="0" fontId="6" fillId="0" borderId="1" applyAlignment="1" pivotButton="0" quotePrefix="0" xfId="0">
      <alignment vertical="top" wrapText="1"/>
    </xf>
    <xf numFmtId="166" fontId="6" fillId="0" borderId="1" applyAlignment="1" pivotButton="0" quotePrefix="0" xfId="0">
      <alignment vertical="top" wrapText="1"/>
    </xf>
    <xf numFmtId="0" fontId="8" fillId="0" borderId="1" applyAlignment="1" pivotButton="0" quotePrefix="0" xfId="0">
      <alignment vertical="top" wrapText="1"/>
    </xf>
    <xf numFmtId="0" fontId="8" fillId="0" borderId="1" applyAlignment="1" pivotButton="0" quotePrefix="0" xfId="0">
      <alignment vertical="center" wrapText="1"/>
    </xf>
    <xf numFmtId="0" fontId="8" fillId="0" borderId="1" pivotButton="0" quotePrefix="0" xfId="0"/>
    <xf numFmtId="0" fontId="0" fillId="3" borderId="1" pivotButton="0" quotePrefix="0" xfId="0"/>
    <xf numFmtId="0" fontId="6" fillId="0" borderId="1" applyAlignment="1" pivotButton="0" quotePrefix="0" xfId="0">
      <alignment indent="1"/>
    </xf>
    <xf numFmtId="166" fontId="6" fillId="0" borderId="1" applyAlignment="1" pivotButton="0" quotePrefix="0" xfId="0">
      <alignment horizontal="right"/>
    </xf>
    <xf numFmtId="0" fontId="6" fillId="0" borderId="1" pivotButton="0" quotePrefix="0" xfId="0"/>
    <xf numFmtId="164" fontId="0" fillId="0" borderId="1" applyAlignment="1" pivotButton="0" quotePrefix="0" xfId="0">
      <alignment horizontal="right"/>
    </xf>
    <xf numFmtId="165" fontId="0" fillId="0" borderId="1" applyAlignment="1" pivotButton="0" quotePrefix="0" xfId="0">
      <alignment horizontal="right"/>
    </xf>
    <xf numFmtId="164" fontId="9" fillId="0" borderId="1" applyAlignment="1" pivotButton="0" quotePrefix="0" xfId="0">
      <alignment horizontal="right"/>
    </xf>
    <xf numFmtId="0" fontId="0" fillId="0" borderId="1" pivotButton="0" quotePrefix="0" xfId="0"/>
    <xf numFmtId="0" fontId="6" fillId="0" borderId="1" applyAlignment="1" pivotButton="0" quotePrefix="0" xfId="0">
      <alignment horizontal="left" vertical="top" wrapText="1"/>
    </xf>
    <xf numFmtId="164" fontId="0" fillId="0" borderId="1" applyAlignment="1" pivotButton="0" quotePrefix="0" xfId="0">
      <alignment horizontal="right" vertical="top" wrapText="1"/>
    </xf>
    <xf numFmtId="0" fontId="8" fillId="0" borderId="1" applyAlignment="1" pivotButton="0" quotePrefix="0" xfId="0">
      <alignment horizontal="left" vertical="top" wrapText="1"/>
    </xf>
    <xf numFmtId="0" fontId="9"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58" customWidth="1" min="1" max="1"/>
    <col width="17" customWidth="1" min="2" max="2"/>
    <col width="17" customWidth="1" min="3" max="3"/>
    <col width="17" customWidth="1" min="4" max="4"/>
    <col width="16" customWidth="1" min="5" max="5"/>
    <col width="16" customWidth="1" min="6" max="6"/>
  </cols>
  <sheetData>
    <row r="1" ht="22" customHeight="1">
      <c r="A1" s="1" t="inlineStr">
        <is>
          <t>Actual Net Profit and Owner Benefit</t>
        </is>
      </c>
    </row>
    <row r="2">
      <c r="A2" s="2" t="inlineStr">
        <is>
          <t>2025 versus 2026 - what the business earned, and what it paid the two of you</t>
        </is>
      </c>
    </row>
    <row r="3">
      <c r="A3" s="3" t="inlineStr">
        <is>
          <t>Top Tier Roofing &amp; Remodeling, LLC   |   prepared 31 August 2026</t>
        </is>
      </c>
    </row>
    <row r="5" ht="34" customHeight="1">
      <c r="A5" s="4" t="inlineStr"/>
      <c r="B5" s="5" t="inlineStr">
        <is>
          <t>2025 FULL YEAR
Filed Form 1065
(verified)</t>
        </is>
      </c>
      <c r="C5" s="5" t="inlineStr">
        <is>
          <t>2025 FULL YEAR
Same bank method
as 2026 (control)</t>
        </is>
      </c>
      <c r="D5" s="5" t="inlineStr">
        <is>
          <t>2026 YEAR TO DATE
1 Jan - 24 Aug
ACTUAL cash</t>
        </is>
      </c>
      <c r="E5" s="5" t="inlineStr">
        <is>
          <t>2026 FULL YEAR
PROJECTED low</t>
        </is>
      </c>
      <c r="F5" s="5" t="inlineStr">
        <is>
          <t>2026 FULL YEAR
PROJECTED high</t>
        </is>
      </c>
    </row>
    <row r="6">
      <c r="A6" s="6" t="inlineStr">
        <is>
          <t>THE BUSINESS</t>
        </is>
      </c>
      <c r="B6" s="6" t="n"/>
      <c r="C6" s="6" t="n"/>
      <c r="D6" s="6" t="n"/>
      <c r="E6" s="6" t="n"/>
      <c r="F6" s="6" t="n"/>
    </row>
    <row r="7">
      <c r="A7" s="7" t="inlineStr">
        <is>
          <t>Revenue (cash collected on the bank rows)</t>
        </is>
      </c>
      <c r="B7" s="8" t="n">
        <v>1189873</v>
      </c>
      <c r="C7" s="8" t="n">
        <v>1328827.63</v>
      </c>
      <c r="D7" s="8" t="n">
        <v>753325.2000000001</v>
      </c>
      <c r="E7" s="8" t="n">
        <v>1060758.415995443</v>
      </c>
      <c r="F7" s="8" t="n">
        <v>1293903.08945179</v>
      </c>
    </row>
    <row r="8">
      <c r="A8" s="9" t="inlineStr">
        <is>
          <t>Cost of goods sold  (materials, subcontract labor, job services)</t>
        </is>
      </c>
      <c r="B8" s="10" t="n">
        <v>-763998</v>
      </c>
      <c r="C8" s="10" t="n">
        <v>-753587.4799999994</v>
      </c>
      <c r="D8" s="10" t="n">
        <v>-428389.0000000001</v>
      </c>
      <c r="E8" s="10" t="n">
        <v>-603215.2343634223</v>
      </c>
      <c r="F8" s="10" t="n">
        <v>-735796.2412344133</v>
      </c>
    </row>
    <row r="9">
      <c r="A9" s="11" t="inlineStr">
        <is>
          <t>GROSS PROFIT</t>
        </is>
      </c>
      <c r="B9" s="12" t="n">
        <v>425875</v>
      </c>
      <c r="C9" s="12" t="n">
        <v>575240.150000001</v>
      </c>
      <c r="D9" s="12" t="n">
        <v>324936.2</v>
      </c>
      <c r="E9" s="12" t="n">
        <v>457543.181632021</v>
      </c>
      <c r="F9" s="12" t="n">
        <v>558106.8482173763</v>
      </c>
    </row>
    <row r="10">
      <c r="A10" s="11" t="inlineStr">
        <is>
          <t>Gross margin</t>
        </is>
      </c>
      <c r="B10" s="13" t="n">
        <v>0.357915</v>
      </c>
      <c r="C10" s="13" t="n">
        <v>0.4328929780004656</v>
      </c>
      <c r="D10" s="13" t="n">
        <v>0.4313358958388754</v>
      </c>
      <c r="E10" s="13" t="n">
        <v>0.4313358958388754</v>
      </c>
      <c r="F10" s="13" t="n">
        <v>0.4313358958388754</v>
      </c>
    </row>
    <row r="11">
      <c r="A11" s="9" t="inlineStr">
        <is>
          <t>Overhead  (rent, insurance, fuel, software, marketing, professional)</t>
        </is>
      </c>
      <c r="B11" s="10" t="n">
        <v>-104621</v>
      </c>
      <c r="C11" s="10" t="n">
        <v>-115436.8500000001</v>
      </c>
      <c r="D11" s="10" t="n">
        <v>-92500.59000000003</v>
      </c>
      <c r="E11" s="10" t="n">
        <v>-128850.4887711865</v>
      </c>
      <c r="F11" s="10" t="n">
        <v>-128850.4887711865</v>
      </c>
    </row>
    <row r="13">
      <c r="A13" s="6" t="inlineStr">
        <is>
          <t>WHAT THE BUSINESS PRODUCED FOR THE TWO OWNERS</t>
        </is>
      </c>
      <c r="B13" s="6" t="n"/>
      <c r="C13" s="6" t="n"/>
      <c r="D13" s="6" t="n"/>
      <c r="E13" s="6" t="n"/>
      <c r="F13" s="6" t="n"/>
    </row>
    <row r="14">
      <c r="A14" s="11" t="inlineStr">
        <is>
          <t>OWNER BENEFIT  (total owner take, before owner pay is split out)</t>
        </is>
      </c>
      <c r="B14" s="12" t="n">
        <v>321254</v>
      </c>
      <c r="C14" s="12" t="n">
        <v>459803.3000000009</v>
      </c>
      <c r="D14" s="12" t="n">
        <v>232435.61</v>
      </c>
      <c r="E14" s="12" t="n">
        <v>328692.6928608345</v>
      </c>
      <c r="F14" s="12" t="n">
        <v>429256.3594461898</v>
      </c>
    </row>
    <row r="15">
      <c r="A15" s="11" t="inlineStr">
        <is>
          <t>Owner benefit as a share of revenue</t>
        </is>
      </c>
      <c r="B15" s="13" t="n">
        <v>0.270034</v>
      </c>
      <c r="C15" s="13" t="n">
        <v>0.3460217786109706</v>
      </c>
      <c r="D15" s="13" t="n">
        <v>0.3085461763392489</v>
      </c>
      <c r="E15" s="13" t="n">
        <v>0.3098657412511602</v>
      </c>
      <c r="F15" s="13" t="n">
        <v>0.3317530987796469</v>
      </c>
    </row>
    <row r="16">
      <c r="A16" s="9" t="inlineStr">
        <is>
          <t>less owner pay already taken  (guaranteed payments and owner checks)</t>
        </is>
      </c>
      <c r="B16" s="10" t="n">
        <v>-180000</v>
      </c>
      <c r="C16" s="10" t="n">
        <v>-238320</v>
      </c>
      <c r="D16" s="10" t="n">
        <v>-140000</v>
      </c>
      <c r="E16" s="10" t="n">
        <v>-216525.4237288136</v>
      </c>
      <c r="F16" s="10" t="n">
        <v>-216525.4237288136</v>
      </c>
    </row>
    <row r="18">
      <c r="A18" s="6" t="inlineStr">
        <is>
          <t>THE BOTTOM LINE</t>
        </is>
      </c>
      <c r="B18" s="6" t="n"/>
      <c r="C18" s="6" t="n"/>
      <c r="D18" s="6" t="n"/>
      <c r="E18" s="6" t="n"/>
      <c r="F18" s="6" t="n"/>
    </row>
    <row r="19">
      <c r="A19" s="11" t="inlineStr">
        <is>
          <t>NET PROFIT  (what the business kept after paying you)</t>
        </is>
      </c>
      <c r="B19" s="12" t="n">
        <v>141254</v>
      </c>
      <c r="C19" s="12" t="n">
        <v>221483.3000000009</v>
      </c>
      <c r="D19" s="12" t="n">
        <v>92435.60999999999</v>
      </c>
      <c r="E19" s="12" t="n">
        <v>112167.269132021</v>
      </c>
      <c r="F19" s="12" t="n">
        <v>212730.9357173763</v>
      </c>
    </row>
    <row r="20">
      <c r="A20" s="14" t="inlineStr">
        <is>
          <t>Net margin</t>
        </is>
      </c>
      <c r="B20" s="15" t="n">
        <v>0.118714</v>
      </c>
      <c r="C20" s="15" t="n">
        <v>0.166675718505342</v>
      </c>
      <c r="D20" s="15" t="n">
        <v>0.1227034619311819</v>
      </c>
      <c r="E20" s="15" t="n">
        <v>0.1057425210496777</v>
      </c>
      <c r="F20" s="15" t="n">
        <v>0.1644102540998706</v>
      </c>
    </row>
    <row r="22">
      <c r="A22" s="6" t="inlineStr">
        <is>
          <t>MEMO - REAL MONEY, BUT NOT PART OF NET PROFIT</t>
        </is>
      </c>
      <c r="B22" s="6" t="n"/>
      <c r="C22" s="6" t="n"/>
      <c r="D22" s="6" t="n"/>
      <c r="E22" s="6" t="n"/>
      <c r="F22" s="6" t="n"/>
    </row>
    <row r="23">
      <c r="A23" s="7" t="inlineStr">
        <is>
          <t>Cash out that could not be identified from the available records</t>
        </is>
      </c>
      <c r="B23" s="8" t="n"/>
      <c r="C23" s="8" t="n">
        <v>-32395.76999999999</v>
      </c>
      <c r="D23" s="8" t="n">
        <v>-9291.02</v>
      </c>
      <c r="E23" s="8" t="n"/>
      <c r="F23" s="8" t="n"/>
    </row>
    <row r="24">
      <c r="A24" s="7" t="inlineStr">
        <is>
          <t>Truck purchase and vehicle loan payoff  (capital, not an expense)</t>
        </is>
      </c>
      <c r="B24" s="8" t="n"/>
      <c r="C24" s="8" t="n">
        <v>-118400.27</v>
      </c>
      <c r="D24" s="8" t="n">
        <v>0</v>
      </c>
      <c r="E24" s="8" t="n"/>
      <c r="F24" s="8" t="n"/>
    </row>
    <row r="25">
      <c r="A25" s="7" t="inlineStr">
        <is>
          <t>Section 179 deduction  (separately stated - NOT subtracted above)</t>
        </is>
      </c>
      <c r="B25" s="8" t="n">
        <v>119935</v>
      </c>
      <c r="C25" s="8" t="n"/>
      <c r="D25" s="8" t="n"/>
      <c r="E25" s="8" t="n"/>
      <c r="F25" s="8" t="n"/>
    </row>
    <row r="26">
      <c r="A26" s="7" t="inlineStr">
        <is>
          <t>Net income per the books  (Schedule M-1)</t>
        </is>
      </c>
      <c r="B26" s="8" t="n">
        <v>19408</v>
      </c>
      <c r="C26" s="8" t="n"/>
      <c r="D26" s="8" t="n"/>
      <c r="E26" s="8" t="n"/>
      <c r="F26" s="8" t="n"/>
    </row>
    <row r="29" ht="28" customHeight="1">
      <c r="A29" s="16" t="inlineStr">
        <is>
          <t>HOW TO READ THE COLUMNS</t>
        </is>
      </c>
    </row>
    <row r="30" ht="30" customHeight="1">
      <c r="A30" s="17" t="inlineStr">
        <is>
          <t xml:space="preserve">     Column B is the filed 2025 Form 1065. It is accrual basis and it is the only audited-quality number on this page.</t>
        </is>
      </c>
    </row>
    <row r="31" ht="30" customHeight="1">
      <c r="A31" s="17" t="inlineStr">
        <is>
          <t xml:space="preserve">     Column C runs the identical bank-and-card classification used for 2026 over the whole of 2025, purely as a control. Comparing C to B tells you how much to trust column D. It reproduces cost of goods sold within 1.4% and overhead within 10.4%, but it overstates revenue by 11.7% because cash collected in a year is not the same as revenue earned in a year.</t>
        </is>
      </c>
    </row>
    <row r="32" ht="30" customHeight="1">
      <c r="A32" s="17" t="inlineStr">
        <is>
          <t xml:space="preserve">     Column D is ACTUAL money in and out of the bank and the card between 1 January and 24 August 2026. It is not an estimate. It is also not a full year, and it is cash basis.</t>
        </is>
      </c>
    </row>
    <row r="33" ht="30" customHeight="1">
      <c r="A33" s="17" t="inlineStr">
        <is>
          <t xml:space="preserve">     Columns E and F are a PROJECTION, not a measurement. They scale the actual 2026 year-to-date up to a full year using 2025's own collection pattern. The two columns are the low and high end of an honest band, not a forecast either way. See tab 4.</t>
        </is>
      </c>
    </row>
    <row r="35" ht="42" customHeight="1">
      <c r="A35" s="18" t="inlineStr">
        <is>
          <t>THE ONE WORD THAT MATTERS: this page says OWNER BENEFIT, never owner equity. Owner benefit is an income-statement flow - what the business produced for the two of you in a year. Owner equity is a balance-sheet balance, and on the 2025 return that is partners' capital of $37,667.</t>
        </is>
      </c>
    </row>
  </sheetData>
  <mergeCells count="6">
    <mergeCell ref="A33:F33"/>
    <mergeCell ref="A32:F32"/>
    <mergeCell ref="A31:F31"/>
    <mergeCell ref="A35:F35"/>
    <mergeCell ref="A30:F30"/>
    <mergeCell ref="A29:F2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3"/>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7" customWidth="1" min="2" max="2"/>
    <col width="13" customWidth="1" min="3" max="3"/>
    <col width="18" customWidth="1" min="4" max="4"/>
    <col width="13" customWidth="1" min="5" max="5"/>
    <col width="46" customWidth="1" min="6" max="6"/>
  </cols>
  <sheetData>
    <row r="1" ht="22" customHeight="1">
      <c r="A1" s="1" t="inlineStr">
        <is>
          <t>The Waterfall</t>
        </is>
      </c>
    </row>
    <row r="2">
      <c r="A2" s="2" t="inlineStr">
        <is>
          <t>The six lines that answer "we run 33% but the return says 12%"</t>
        </is>
      </c>
    </row>
    <row r="3">
      <c r="A3" s="3" t="inlineStr">
        <is>
          <t>Top Tier Roofing &amp; Remodeling, LLC   |   prepared 31 August 2026</t>
        </is>
      </c>
    </row>
    <row r="5" ht="34" customHeight="1">
      <c r="A5" s="4" t="inlineStr"/>
      <c r="B5" s="5" t="inlineStr">
        <is>
          <t>2025 dollars
(filed return)</t>
        </is>
      </c>
      <c r="C5" s="5" t="inlineStr">
        <is>
          <t>2025
% of revenue</t>
        </is>
      </c>
      <c r="D5" s="5" t="inlineStr">
        <is>
          <t>2026 YTD dollars
(actual, to 24 Aug)</t>
        </is>
      </c>
      <c r="E5" s="5" t="inlineStr">
        <is>
          <t>2026 YTD
% of revenue</t>
        </is>
      </c>
      <c r="F5" s="5" t="inlineStr">
        <is>
          <t>What changed</t>
        </is>
      </c>
    </row>
    <row r="6">
      <c r="A6" s="7" t="inlineStr">
        <is>
          <t>Revenue</t>
        </is>
      </c>
      <c r="B6" s="8" t="n">
        <v>1189873</v>
      </c>
      <c r="C6" s="19" t="n">
        <v>1</v>
      </c>
      <c r="D6" s="8" t="n">
        <v>753325.2000000001</v>
      </c>
      <c r="E6" s="19" t="n">
        <v>1</v>
      </c>
      <c r="F6" s="20" t="inlineStr">
        <is>
          <t>The two columns are not the same basis: 2025 is a full year on the return, 2026 is eight months of cash. Compare the percentages, not the dollars.</t>
        </is>
      </c>
    </row>
    <row r="7">
      <c r="A7" s="7" t="inlineStr">
        <is>
          <t>less cost of goods sold</t>
        </is>
      </c>
      <c r="B7" s="8" t="n">
        <v>-763998</v>
      </c>
      <c r="C7" s="19" t="n">
        <v>0.6420836509442605</v>
      </c>
      <c r="D7" s="8" t="n">
        <v>-428389.0000000001</v>
      </c>
      <c r="E7" s="19" t="n">
        <v>0.5686641041611246</v>
      </c>
      <c r="F7" s="20" t="inlineStr">
        <is>
          <t>64.21% down to 56.87%. Materials and subcontract labor are taking a smaller share of every dollar.</t>
        </is>
      </c>
    </row>
    <row r="8">
      <c r="A8" s="11" t="inlineStr">
        <is>
          <t>GROSS MARGIN</t>
        </is>
      </c>
      <c r="B8" s="12" t="n">
        <v>425875</v>
      </c>
      <c r="C8" s="13" t="n">
        <v>0.357915</v>
      </c>
      <c r="D8" s="12" t="n">
        <v>324936.2</v>
      </c>
      <c r="E8" s="13" t="n">
        <v>0.4313358958388754</v>
      </c>
      <c r="F8" s="21" t="inlineStr">
        <is>
          <t>35.79% up to 43.13%. The owners say they run 33%. They are right, and 2026 is running ahead of it.</t>
        </is>
      </c>
    </row>
    <row r="9">
      <c r="A9" s="7" t="inlineStr">
        <is>
          <t>less overhead</t>
        </is>
      </c>
      <c r="B9" s="8" t="n">
        <v>-104621</v>
      </c>
      <c r="C9" s="19" t="n">
        <v>0.08792619044217324</v>
      </c>
      <c r="D9" s="8" t="n">
        <v>-92500.59000000003</v>
      </c>
      <c r="E9" s="19" t="n">
        <v>0.1227897194996265</v>
      </c>
      <c r="F9" s="20" t="inlineStr">
        <is>
          <t>8.79% up to 12.28% - the rent is now visible in the bank rows and marketing spend has risen. Still lean for a $1.2M contractor.</t>
        </is>
      </c>
    </row>
    <row r="10">
      <c r="A10" s="11" t="inlineStr">
        <is>
          <t>OWNER BENEFIT</t>
        </is>
      </c>
      <c r="B10" s="12" t="n">
        <v>321254</v>
      </c>
      <c r="C10" s="13" t="n">
        <v>0.270034</v>
      </c>
      <c r="D10" s="12" t="n">
        <v>232435.61</v>
      </c>
      <c r="E10" s="13" t="n">
        <v>0.3085461763392489</v>
      </c>
      <c r="F10" s="21" t="inlineStr">
        <is>
          <t>27.00% up to 30.85%. This is what the business produced for the two of you.</t>
        </is>
      </c>
    </row>
    <row r="11">
      <c r="A11" s="7" t="inlineStr">
        <is>
          <t>less owner pay</t>
        </is>
      </c>
      <c r="B11" s="8" t="n">
        <v>-180000</v>
      </c>
      <c r="C11" s="19" t="n">
        <v>0.151277</v>
      </c>
      <c r="D11" s="8" t="n">
        <v>-140000</v>
      </c>
      <c r="E11" s="19" t="n">
        <v>0.185842714408067</v>
      </c>
      <c r="F11" s="20" t="inlineStr">
        <is>
          <t>15.13% up to 18.58%. This line, not leakage, is the whole 33%-versus-12% gap.</t>
        </is>
      </c>
    </row>
    <row r="12">
      <c r="A12" s="11" t="inlineStr">
        <is>
          <t>NET PROFIT</t>
        </is>
      </c>
      <c r="B12" s="12" t="n">
        <v>141254</v>
      </c>
      <c r="C12" s="13" t="n">
        <v>0.118714</v>
      </c>
      <c r="D12" s="12" t="n">
        <v>92435.60999999999</v>
      </c>
      <c r="E12" s="13" t="n">
        <v>0.1227034619311819</v>
      </c>
      <c r="F12" s="21" t="inlineStr">
        <is>
          <t>11.87% and 12.27%. Top of the 8-12% healthy band in both years.</t>
        </is>
      </c>
    </row>
    <row r="14">
      <c r="A14" s="6" t="inlineStr">
        <is>
          <t>WHAT THIS EXHIBIT SETTLES</t>
        </is>
      </c>
      <c r="B14" s="6" t="n"/>
      <c r="C14" s="6" t="n"/>
      <c r="D14" s="6" t="n"/>
      <c r="E14" s="6" t="n"/>
      <c r="F14" s="6" t="n"/>
    </row>
    <row r="15" ht="28" customHeight="1">
      <c r="A15" s="17" t="inlineStr">
        <is>
          <t xml:space="preserve">     The owners' 33% is GROSS margin, and it is essentially correct - the 2025 return says 35.79%.</t>
        </is>
      </c>
    </row>
    <row r="16" ht="28" customHeight="1">
      <c r="A16" s="17" t="inlineStr">
        <is>
          <t xml:space="preserve">     The return's 11.87% is NET margin, after the owners pay themselves 15.13% of revenue.</t>
        </is>
      </c>
    </row>
    <row r="17" ht="28" customHeight="1">
      <c r="A17" s="17" t="inlineStr">
        <is>
          <t xml:space="preserve">     The entire gap between the two numbers is the money the owners take out. It is not leakage, it is not a costing problem, and it is not a margin problem.</t>
        </is>
      </c>
    </row>
    <row r="18" ht="28" customHeight="1">
      <c r="A18" s="17" t="inlineStr">
        <is>
          <t xml:space="preserve">     Overhead costs the business only 8.79% of revenue in 2025. That is lean.</t>
        </is>
      </c>
    </row>
    <row r="20">
      <c r="A20" s="6" t="inlineStr">
        <is>
          <t>WHICH NUMBER ANSWERS WHICH QUESTION</t>
        </is>
      </c>
      <c r="B20" s="6" t="n"/>
      <c r="C20" s="6" t="n"/>
      <c r="D20" s="6" t="n"/>
      <c r="E20" s="6" t="n"/>
      <c r="F20" s="6" t="n"/>
    </row>
    <row r="21">
      <c r="A21" s="22" t="inlineStr">
        <is>
          <t>Is the business healthy?</t>
        </is>
      </c>
      <c r="B21" s="23" t="n">
        <v>0.118714</v>
      </c>
      <c r="C21" s="3" t="inlineStr">
        <is>
          <t>Net margin - top of the 8-12% band.</t>
        </is>
      </c>
    </row>
    <row r="22">
      <c r="A22" s="22" t="inlineStr">
        <is>
          <t>What did it produce for us?</t>
        </is>
      </c>
      <c r="B22" s="23" t="n">
        <v>0.270034</v>
      </c>
      <c r="C22" s="3" t="inlineStr">
        <is>
          <t>Owner benefit - $321,254 in 2025.</t>
        </is>
      </c>
    </row>
    <row r="23">
      <c r="A23" s="22" t="inlineStr">
        <is>
          <t>What do the books say?</t>
        </is>
      </c>
      <c r="B23" s="23" t="n">
        <v>0.01631098444960092</v>
      </c>
      <c r="C23" s="3" t="inlineStr">
        <is>
          <t>Schedule M-1 book net income of $19,408.</t>
        </is>
      </c>
    </row>
  </sheetData>
  <mergeCells count="7">
    <mergeCell ref="C22:F22"/>
    <mergeCell ref="A16:F16"/>
    <mergeCell ref="C23:F23"/>
    <mergeCell ref="C21:F21"/>
    <mergeCell ref="A17:F17"/>
    <mergeCell ref="A18:F18"/>
    <mergeCell ref="A15:F1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showGridLines="0" workbookViewId="0">
      <selection activeCell="A1" sqref="A1"/>
    </sheetView>
  </sheetViews>
  <sheetFormatPr baseColWidth="8" defaultRowHeight="15"/>
  <cols>
    <col width="46" customWidth="1" min="1" max="1"/>
    <col width="16" customWidth="1" min="2" max="2"/>
    <col width="16" customWidth="1" min="3" max="3"/>
    <col width="18" customWidth="1" min="4" max="4"/>
    <col width="44" customWidth="1" min="5" max="5"/>
  </cols>
  <sheetData>
    <row r="1" ht="22" customHeight="1">
      <c r="A1" s="1" t="inlineStr">
        <is>
          <t>Owner Benefit Detail</t>
        </is>
      </c>
    </row>
    <row r="2">
      <c r="A2" s="2" t="inlineStr">
        <is>
          <t>Everything the two of you were paid, plus what the business kept for you</t>
        </is>
      </c>
    </row>
    <row r="3">
      <c r="A3" s="3" t="inlineStr">
        <is>
          <t>Top Tier Roofing &amp; Remodeling, LLC   |   prepared 31 August 2026</t>
        </is>
      </c>
    </row>
    <row r="5">
      <c r="A5" s="6" t="inlineStr">
        <is>
          <t>A.  2025 AS FILED ON THE FORM 1065  (verified)</t>
        </is>
      </c>
      <c r="B5" s="6" t="n"/>
      <c r="C5" s="6" t="n"/>
      <c r="D5" s="6" t="n"/>
      <c r="E5" s="6" t="n"/>
    </row>
    <row r="6" ht="34" customHeight="1">
      <c r="A6" s="4" t="inlineStr"/>
      <c r="B6" s="5" t="inlineStr">
        <is>
          <t>Total</t>
        </is>
      </c>
      <c r="C6" s="5" t="inlineStr">
        <is>
          <t>Guy Saxby 50%</t>
        </is>
      </c>
      <c r="D6" s="5" t="inlineStr">
        <is>
          <t>Keith Gutzwiller 50%</t>
        </is>
      </c>
      <c r="E6" s="5" t="inlineStr">
        <is>
          <t>Source</t>
        </is>
      </c>
    </row>
    <row r="7">
      <c r="A7" s="7" t="inlineStr">
        <is>
          <t>Guaranteed payments to partners</t>
        </is>
      </c>
      <c r="B7" s="8" t="n">
        <v>180000</v>
      </c>
      <c r="C7" s="8" t="n">
        <v>90000</v>
      </c>
      <c r="D7" s="8" t="n">
        <v>90000</v>
      </c>
      <c r="E7" s="24" t="inlineStr">
        <is>
          <t>Form 1065 line 10; $90,000 each, exactly even</t>
        </is>
      </c>
    </row>
    <row r="8">
      <c r="A8" s="7" t="inlineStr">
        <is>
          <t>Ordinary business income kept in the company</t>
        </is>
      </c>
      <c r="B8" s="8" t="n">
        <v>141254</v>
      </c>
      <c r="C8" s="8" t="n">
        <v>70627</v>
      </c>
      <c r="D8" s="8" t="n">
        <v>70627</v>
      </c>
      <c r="E8" s="24" t="inlineStr">
        <is>
          <t>Form 1065 line 22</t>
        </is>
      </c>
    </row>
    <row r="9">
      <c r="A9" s="7" t="inlineStr">
        <is>
          <t>Distributions beyond guaranteed payments</t>
        </is>
      </c>
      <c r="B9" s="8" t="n">
        <v>0</v>
      </c>
      <c r="C9" s="8" t="n">
        <v>0</v>
      </c>
      <c r="D9" s="8" t="n">
        <v>0</v>
      </c>
      <c r="E9" s="24" t="inlineStr">
        <is>
          <t>Schedule K line 19a and Schedule M-2 both report zero</t>
        </is>
      </c>
    </row>
    <row r="10">
      <c r="A10" s="11" t="inlineStr">
        <is>
          <t>OWNER BENEFIT 2025  (total owner take)</t>
        </is>
      </c>
      <c r="B10" s="12" t="n">
        <v>321254</v>
      </c>
      <c r="C10" s="12" t="n">
        <v>160627</v>
      </c>
      <c r="D10" s="12" t="n">
        <v>160627</v>
      </c>
      <c r="E10" s="25">
        <f> ordinary income + guaranteed payments</f>
        <v/>
      </c>
    </row>
    <row r="11">
      <c r="A11" s="11" t="inlineStr">
        <is>
          <t>Owner benefit as a share of revenue</t>
        </is>
      </c>
      <c r="B11" s="13" t="n">
        <v>0.270034</v>
      </c>
      <c r="C11" s="13" t="n"/>
      <c r="D11" s="13" t="n"/>
    </row>
    <row r="13">
      <c r="A13" s="6" t="inlineStr">
        <is>
          <t>B.  WHAT ACTUALLY CLEARED THE BANK  (cashed check images)</t>
        </is>
      </c>
      <c r="B13" s="6" t="n"/>
      <c r="C13" s="6" t="n"/>
      <c r="D13" s="6" t="n"/>
      <c r="E13" s="6" t="n"/>
    </row>
    <row r="14" ht="34" customHeight="1">
      <c r="A14" s="4" t="inlineStr"/>
      <c r="B14" s="5" t="inlineStr">
        <is>
          <t>Total</t>
        </is>
      </c>
      <c r="C14" s="5" t="inlineStr">
        <is>
          <t>Guy Saxby</t>
        </is>
      </c>
      <c r="D14" s="5" t="inlineStr">
        <is>
          <t>Keith Gutzwiller</t>
        </is>
      </c>
      <c r="E14" s="5" t="inlineStr">
        <is>
          <t>Note</t>
        </is>
      </c>
    </row>
    <row r="15">
      <c r="A15" s="7" t="inlineStr">
        <is>
          <t>Checks to owners cleared in CY2025</t>
        </is>
      </c>
      <c r="B15" s="8" t="n">
        <v>238320</v>
      </c>
      <c r="C15" s="8" t="n">
        <v>122000</v>
      </c>
      <c r="D15" s="8" t="n">
        <v>116320</v>
      </c>
      <c r="E15" s="24" t="inlineStr">
        <is>
          <t>24 checks read from the images</t>
        </is>
      </c>
    </row>
    <row r="16">
      <c r="A16" s="7" t="inlineStr">
        <is>
          <t>Guaranteed payments reported on the return</t>
        </is>
      </c>
      <c r="B16" s="8" t="n">
        <v>180000</v>
      </c>
      <c r="C16" s="8" t="n">
        <v>90000</v>
      </c>
      <c r="D16" s="8" t="n">
        <v>90000</v>
      </c>
      <c r="E16" s="24" t="inlineStr">
        <is>
          <t>Form 1065 line 10</t>
        </is>
      </c>
    </row>
    <row r="17" ht="30" customHeight="1">
      <c r="A17" s="11" t="inlineStr">
        <is>
          <t>DIFFERENCE - not determinable from available data</t>
        </is>
      </c>
      <c r="B17" s="12" t="n">
        <v>58320</v>
      </c>
      <c r="C17" s="12" t="n">
        <v>32000</v>
      </c>
      <c r="D17" s="12" t="n">
        <v>26320</v>
      </c>
      <c r="E17" s="24" t="inlineStr">
        <is>
          <t>$40,000 of it is checks 2040 and 2041, written 28 Dec 2024 and cleared 2 Jan 2025. The rest needs the general ledger.</t>
        </is>
      </c>
    </row>
    <row r="18">
      <c r="A18" s="7" t="inlineStr">
        <is>
          <t>Checks to owners cleared 1 Jan - 24 Aug 2026</t>
        </is>
      </c>
      <c r="B18" s="8" t="n">
        <v>140000</v>
      </c>
      <c r="C18" s="8" t="n">
        <v>70000</v>
      </c>
      <c r="D18" s="8" t="n">
        <v>70000</v>
      </c>
      <c r="E18" s="24" t="inlineStr">
        <is>
          <t>16 checks; dead even between the two partners</t>
        </is>
      </c>
    </row>
    <row r="19">
      <c r="A19" s="7" t="inlineStr">
        <is>
          <t>Net profit the business kept 1 Jan - 24 Aug 2026</t>
        </is>
      </c>
      <c r="B19" s="8" t="n">
        <v>92435.60999999999</v>
      </c>
      <c r="C19" s="8" t="n">
        <v>46217.80499999999</v>
      </c>
      <c r="D19" s="8" t="n">
        <v>46217.80499999999</v>
      </c>
      <c r="E19" s="24" t="inlineStr">
        <is>
          <t>cash basis, actual</t>
        </is>
      </c>
    </row>
    <row r="20">
      <c r="A20" s="11" t="inlineStr">
        <is>
          <t>OWNER BENEFIT 2026 YEAR TO DATE</t>
        </is>
      </c>
      <c r="B20" s="12" t="n">
        <v>232435.61</v>
      </c>
      <c r="C20" s="12" t="n">
        <v>116217.805</v>
      </c>
      <c r="D20" s="12" t="n">
        <v>116217.805</v>
      </c>
      <c r="E20" s="25" t="inlineStr">
        <is>
          <t>In under eight months, already 72% of the whole of 2025.</t>
        </is>
      </c>
    </row>
    <row r="22">
      <c r="A22" s="6" t="inlineStr">
        <is>
          <t>C.  SECTION 179 - THE LINE EVERYONE GETS WRONG</t>
        </is>
      </c>
      <c r="B22" s="6" t="n"/>
      <c r="C22" s="6" t="n"/>
      <c r="D22" s="6" t="n"/>
      <c r="E22" s="6" t="n"/>
    </row>
    <row r="23" ht="34" customHeight="1">
      <c r="A23" s="4" t="inlineStr"/>
      <c r="B23" s="5" t="inlineStr">
        <is>
          <t>Amount</t>
        </is>
      </c>
      <c r="C23" s="5" t="inlineStr"/>
      <c r="D23" s="5" t="inlineStr"/>
      <c r="E23" s="5" t="inlineStr">
        <is>
          <t>What it does</t>
        </is>
      </c>
    </row>
    <row r="24" ht="40" customHeight="1">
      <c r="A24" s="7" t="inlineStr">
        <is>
          <t>Section 179 deduction, Schedule K line 12</t>
        </is>
      </c>
      <c r="B24" s="8" t="n">
        <v>119935</v>
      </c>
      <c r="C24" s="8" t="n"/>
      <c r="D24" s="8" t="n"/>
      <c r="E24" s="24" t="inlineStr">
        <is>
          <t>SEPARATELY STATED. It was NOT deducted in arriving at the $141,254 of ordinary income, so it does not reduce the net profit shown anywhere on this page.</t>
        </is>
      </c>
    </row>
    <row r="25" ht="40" customHeight="1">
      <c r="A25" s="7" t="inlineStr">
        <is>
          <t>Vehicle cash actually paid out in 2025</t>
        </is>
      </c>
      <c r="B25" s="8" t="n">
        <v>118400.27</v>
      </c>
      <c r="C25" s="8" t="n"/>
      <c r="D25" s="8" t="n"/>
      <c r="E25" s="24" t="inlineStr">
        <is>
          <t>Check 2111 Friendly Chevrolet $68,012.09 ("24 Chevy"), Covantage Credit Union $48,000.00 + $1,373.18 payoff, plus $1,015.00 of loan payments.</t>
        </is>
      </c>
    </row>
    <row r="26">
      <c r="A26" s="11" t="inlineStr">
        <is>
          <t>Difference</t>
        </is>
      </c>
      <c r="B26" s="12" t="n">
        <v>1534.73000000001</v>
      </c>
      <c r="C26" s="12" t="n"/>
      <c r="D26" s="12" t="n"/>
      <c r="E26" s="24" t="inlineStr">
        <is>
          <t>Within 1.3%. The bank independently confirms the two trucks the Section 179 election was taken on.</t>
        </is>
      </c>
    </row>
    <row r="27" ht="42" customHeight="1">
      <c r="A27" s="17" t="inlineStr">
        <is>
          <t xml:space="preserve">     Two trucks were bought with cash and written off in full in one year. That consumed five years of depreciation in 2025 and lowered each partner's PERSONAL taxable income by $59,967 - it did not lower the company's reported profit. There is nothing left to depreciate in 2026.</t>
        </is>
      </c>
    </row>
    <row r="29">
      <c r="A29" s="6" t="inlineStr">
        <is>
          <t>D.  TERMINOLOGY - SAY THIS, NOT THAT</t>
        </is>
      </c>
      <c r="B29" s="6" t="n"/>
      <c r="C29" s="6" t="n"/>
      <c r="D29" s="6" t="n"/>
      <c r="E29" s="6" t="n"/>
    </row>
    <row r="30">
      <c r="A30" s="26" t="inlineStr">
        <is>
          <t>OWNER BENEFIT / TOTAL OWNER TAKE</t>
        </is>
      </c>
      <c r="B30" s="27" t="n">
        <v>321254</v>
      </c>
      <c r="C30" s="3" t="inlineStr">
        <is>
          <t>An income-statement FLOW: what the business produced for you in a year.</t>
        </is>
      </c>
    </row>
    <row r="31">
      <c r="A31" s="26" t="inlineStr">
        <is>
          <t>OWNER EQUITY / PARTNERS' CAPITAL</t>
        </is>
      </c>
      <c r="B31" s="27" t="n">
        <v>37667</v>
      </c>
      <c r="C31" s="3" t="inlineStr">
        <is>
          <t>A balance-sheet BALANCE. A completely different number. Never use this word for the one above.</t>
        </is>
      </c>
    </row>
  </sheetData>
  <mergeCells count="3">
    <mergeCell ref="C30:E30"/>
    <mergeCell ref="C31:E31"/>
    <mergeCell ref="A27:E2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5"/>
  <sheetViews>
    <sheetView showGridLines="0" workbookViewId="0">
      <pane ySplit="5" topLeftCell="A6" activePane="bottomLeft" state="frozen"/>
      <selection pane="bottomLeft" activeCell="A1" sqref="A1"/>
    </sheetView>
  </sheetViews>
  <sheetFormatPr baseColWidth="8" defaultRowHeight="15"/>
  <cols>
    <col width="48" customWidth="1" min="1" max="1"/>
    <col width="19" customWidth="1" min="2" max="2"/>
    <col width="17" customWidth="1" min="3" max="3"/>
    <col width="18" customWidth="1" min="4" max="4"/>
    <col width="20" customWidth="1" min="5" max="5"/>
    <col width="58" customWidth="1" min="6" max="6"/>
  </cols>
  <sheetData>
    <row r="1" ht="22" customHeight="1">
      <c r="A1" s="1" t="inlineStr">
        <is>
          <t>2026 Build</t>
        </is>
      </c>
    </row>
    <row r="2">
      <c r="A2" s="2" t="inlineStr">
        <is>
          <t>Every 2026 figure, traced back to the bank, the check images and the card</t>
        </is>
      </c>
    </row>
    <row r="3">
      <c r="A3" s="3" t="inlineStr">
        <is>
          <t>Top Tier Roofing &amp; Remodeling, LLC   |   prepared 31 August 2026</t>
        </is>
      </c>
    </row>
    <row r="5">
      <c r="A5" s="6" t="inlineStr">
        <is>
          <t>A.  WHAT DATA EXISTS, AND WHERE IT STOPS</t>
        </is>
      </c>
      <c r="B5" s="6" t="n"/>
      <c r="C5" s="6" t="n"/>
      <c r="D5" s="6" t="n"/>
      <c r="E5" s="6" t="n"/>
      <c r="F5" s="6" t="n"/>
    </row>
    <row r="6" ht="34" customHeight="1">
      <c r="A6" s="4" t="inlineStr">
        <is>
          <t>Source</t>
        </is>
      </c>
      <c r="B6" s="5" t="inlineStr">
        <is>
          <t>Covers</t>
        </is>
      </c>
      <c r="C6" s="5" t="inlineStr">
        <is>
          <t>Complete through</t>
        </is>
      </c>
      <c r="D6" s="5" t="inlineStr">
        <is>
          <t>Records</t>
        </is>
      </c>
      <c r="E6" s="5" t="inlineStr">
        <is>
          <t>Used for</t>
        </is>
      </c>
      <c r="F6" s="5" t="inlineStr">
        <is>
          <t>Status</t>
        </is>
      </c>
    </row>
    <row r="7">
      <c r="A7" s="28" t="inlineStr">
        <is>
          <t>Deerwood Bank 1214 monthly statements</t>
        </is>
      </c>
      <c r="B7" s="28" t="inlineStr">
        <is>
          <t>Jan 2025 - Jul 2026</t>
        </is>
      </c>
      <c r="C7" s="28" t="inlineStr">
        <is>
          <t>31 Jul 2026</t>
        </is>
      </c>
      <c r="D7" s="29" t="n">
        <v>364</v>
      </c>
      <c r="E7" s="28" t="inlineStr">
        <is>
          <t>Deposits, ACH, debit card, check amounts</t>
        </is>
      </c>
      <c r="F7" s="28" t="inlineStr">
        <is>
          <t>COMPLETE</t>
        </is>
      </c>
    </row>
    <row r="8">
      <c r="A8" s="28" t="inlineStr">
        <is>
          <t>Post-statement pull</t>
        </is>
      </c>
      <c r="B8" s="28" t="inlineStr">
        <is>
          <t>25 Jul - 24 Aug 2026</t>
        </is>
      </c>
      <c r="C8" s="28" t="inlineStr">
        <is>
          <t>24 Aug 2026</t>
        </is>
      </c>
      <c r="D8" s="29" t="n">
        <v>22</v>
      </c>
      <c r="E8" s="28" t="inlineStr">
        <is>
          <t>August 2026 activity</t>
        </is>
      </c>
      <c r="F8" s="28" t="inlineStr">
        <is>
          <t>ACTUAL, statement not yet issued</t>
        </is>
      </c>
    </row>
    <row r="9">
      <c r="A9" s="28" t="inlineStr">
        <is>
          <t>Cashed check images</t>
        </is>
      </c>
      <c r="B9" s="28" t="inlineStr">
        <is>
          <t>Jan 2025 - Aug 2026</t>
        </is>
      </c>
      <c r="C9" s="28" t="inlineStr">
        <is>
          <t>24 Aug 2026</t>
        </is>
      </c>
      <c r="D9" s="29" t="n">
        <v>149</v>
      </c>
      <c r="E9" s="28" t="inlineStr">
        <is>
          <t>Payee on every check</t>
        </is>
      </c>
      <c r="F9" s="28" t="inlineStr">
        <is>
          <t>COMPLETE</t>
        </is>
      </c>
    </row>
    <row r="10">
      <c r="A10" s="28" t="inlineStr">
        <is>
          <t>Capital One card, both cards as one account</t>
        </is>
      </c>
      <c r="B10" s="28" t="inlineStr">
        <is>
          <t>Aug 2024 - Aug 2026</t>
        </is>
      </c>
      <c r="C10" s="28" t="inlineStr">
        <is>
          <t>25 Aug 2026</t>
        </is>
      </c>
      <c r="D10" s="29" t="n">
        <v>1448</v>
      </c>
      <c r="E10" s="28" t="inlineStr">
        <is>
          <t>Vendor-level card spend</t>
        </is>
      </c>
      <c r="F10" s="28" t="inlineStr">
        <is>
          <t>COMPLETE</t>
        </is>
      </c>
    </row>
    <row r="11">
      <c r="A11" s="28" t="inlineStr">
        <is>
          <t>2026 Form 1065</t>
        </is>
      </c>
      <c r="B11" s="28" t="inlineStr">
        <is>
          <t>-</t>
        </is>
      </c>
      <c r="C11" s="28" t="inlineStr">
        <is>
          <t>-</t>
        </is>
      </c>
      <c r="D11" s="29" t="n"/>
      <c r="E11" s="28" t="inlineStr">
        <is>
          <t>-</t>
        </is>
      </c>
      <c r="F11" s="30" t="inlineStr">
        <is>
          <t>DOES NOT EXIST - year is not over</t>
        </is>
      </c>
    </row>
    <row r="12">
      <c r="A12" s="28" t="inlineStr">
        <is>
          <t>2026 general ledger / QBO</t>
        </is>
      </c>
      <c r="B12" s="28" t="inlineStr">
        <is>
          <t>-</t>
        </is>
      </c>
      <c r="C12" s="28" t="inlineStr">
        <is>
          <t>-</t>
        </is>
      </c>
      <c r="D12" s="29" t="n"/>
      <c r="E12" s="28" t="inlineStr">
        <is>
          <t>-</t>
        </is>
      </c>
      <c r="F12" s="30" t="inlineStr">
        <is>
          <t>NOT PROVIDED</t>
        </is>
      </c>
    </row>
    <row r="15">
      <c r="A15" s="6" t="inlineStr">
        <is>
          <t>B.  CASH COLLECTED BY MONTH</t>
        </is>
      </c>
      <c r="B15" s="6" t="n"/>
      <c r="C15" s="6" t="n"/>
      <c r="D15" s="6" t="n"/>
      <c r="E15" s="6" t="n"/>
      <c r="F15" s="6" t="n"/>
    </row>
    <row r="16" ht="34" customHeight="1">
      <c r="A16" s="4" t="inlineStr">
        <is>
          <t>Month</t>
        </is>
      </c>
      <c r="B16" s="5" t="inlineStr">
        <is>
          <t>2025</t>
        </is>
      </c>
      <c r="C16" s="5" t="inlineStr">
        <is>
          <t>2026</t>
        </is>
      </c>
      <c r="D16" s="5" t="inlineStr">
        <is>
          <t>Change</t>
        </is>
      </c>
      <c r="E16" s="5" t="inlineStr"/>
      <c r="F16" s="5" t="inlineStr">
        <is>
          <t>Note</t>
        </is>
      </c>
    </row>
    <row r="17">
      <c r="A17" s="7" t="inlineStr">
        <is>
          <t>Jan</t>
        </is>
      </c>
      <c r="B17" s="8" t="n">
        <v>12343.06</v>
      </c>
      <c r="C17" s="8" t="n">
        <v>34483.99</v>
      </c>
      <c r="D17" s="8" t="n">
        <v>22140.93</v>
      </c>
      <c r="F17" s="20" t="inlineStr"/>
    </row>
    <row r="18">
      <c r="A18" s="9" t="inlineStr">
        <is>
          <t>Feb</t>
        </is>
      </c>
      <c r="B18" s="10" t="n">
        <v>3068.44</v>
      </c>
      <c r="C18" s="10" t="n">
        <v>0</v>
      </c>
      <c r="D18" s="10" t="n">
        <v>-3068.44</v>
      </c>
      <c r="F18" s="20" t="inlineStr"/>
    </row>
    <row r="19">
      <c r="A19" s="7" t="inlineStr">
        <is>
          <t>Mar</t>
        </is>
      </c>
      <c r="B19" s="8" t="n">
        <v>407007</v>
      </c>
      <c r="C19" s="8" t="n">
        <v>22852</v>
      </c>
      <c r="D19" s="8" t="n">
        <v>-384155</v>
      </c>
      <c r="F19" s="31" t="inlineStr">
        <is>
          <t>2025 includes ONE unexplained deposit of $407,007 on 25 Mar - 30.6% of the year.</t>
        </is>
      </c>
    </row>
    <row r="20">
      <c r="A20" s="9" t="inlineStr">
        <is>
          <t>Apr</t>
        </is>
      </c>
      <c r="B20" s="10" t="n">
        <v>52806.24</v>
      </c>
      <c r="C20" s="10" t="n">
        <v>166824.2</v>
      </c>
      <c r="D20" s="10" t="n">
        <v>114017.96</v>
      </c>
      <c r="F20" s="20" t="inlineStr"/>
    </row>
    <row r="21">
      <c r="A21" s="7" t="inlineStr">
        <is>
          <t>May</t>
        </is>
      </c>
      <c r="B21" s="8" t="n">
        <v>116250</v>
      </c>
      <c r="C21" s="8" t="n">
        <v>106720.29</v>
      </c>
      <c r="D21" s="8" t="n">
        <v>-9529.710000000006</v>
      </c>
      <c r="F21" s="20" t="inlineStr"/>
    </row>
    <row r="22">
      <c r="A22" s="9" t="inlineStr">
        <is>
          <t>Jun</t>
        </is>
      </c>
      <c r="B22" s="10" t="n">
        <v>132035.59</v>
      </c>
      <c r="C22" s="10" t="n">
        <v>150992.75</v>
      </c>
      <c r="D22" s="10" t="n">
        <v>18957.16</v>
      </c>
      <c r="F22" s="20" t="inlineStr"/>
    </row>
    <row r="23">
      <c r="A23" s="7" t="inlineStr">
        <is>
          <t>Jul</t>
        </is>
      </c>
      <c r="B23" s="8" t="n">
        <v>179191.14</v>
      </c>
      <c r="C23" s="8" t="n">
        <v>68620.26999999999</v>
      </c>
      <c r="D23" s="8" t="n">
        <v>-110570.87</v>
      </c>
      <c r="F23" s="20" t="inlineStr"/>
    </row>
    <row r="24">
      <c r="A24" s="9" t="inlineStr">
        <is>
          <t>Aug</t>
        </is>
      </c>
      <c r="B24" s="10" t="n">
        <v>41000.06</v>
      </c>
      <c r="C24" s="10" t="n">
        <v>202831.7</v>
      </c>
      <c r="D24" s="10" t="n">
        <v>161831.64</v>
      </c>
      <c r="F24" s="31" t="inlineStr">
        <is>
          <t>2026 is 1-24 Aug only, and includes one deposit of $142,613 on 14 Aug - 18.9% of 2026 year to date.</t>
        </is>
      </c>
    </row>
    <row r="25">
      <c r="A25" s="7" t="inlineStr">
        <is>
          <t>Sep</t>
        </is>
      </c>
      <c r="B25" s="8" t="n">
        <v>106478.74</v>
      </c>
      <c r="C25" s="8" t="n"/>
      <c r="D25" s="8" t="n"/>
      <c r="F25" s="20" t="inlineStr">
        <is>
          <t>No 2026 data - month has not happened.</t>
        </is>
      </c>
    </row>
    <row r="26">
      <c r="A26" s="9" t="inlineStr">
        <is>
          <t>Oct</t>
        </is>
      </c>
      <c r="B26" s="10" t="n">
        <v>102450.14</v>
      </c>
      <c r="C26" s="10" t="n"/>
      <c r="D26" s="10" t="n"/>
      <c r="F26" s="20" t="inlineStr">
        <is>
          <t>No 2026 data - month has not happened.</t>
        </is>
      </c>
    </row>
    <row r="27">
      <c r="A27" s="7" t="inlineStr">
        <is>
          <t>Nov</t>
        </is>
      </c>
      <c r="B27" s="8" t="n">
        <v>68246.41</v>
      </c>
      <c r="C27" s="8" t="n"/>
      <c r="D27" s="8" t="n"/>
      <c r="F27" s="20" t="inlineStr">
        <is>
          <t>No 2026 data - month has not happened.</t>
        </is>
      </c>
    </row>
    <row r="28">
      <c r="A28" s="9" t="inlineStr">
        <is>
          <t>Dec</t>
        </is>
      </c>
      <c r="B28" s="10" t="n">
        <v>107950.81</v>
      </c>
      <c r="C28" s="10" t="n"/>
      <c r="D28" s="10" t="n"/>
      <c r="F28" s="20" t="inlineStr">
        <is>
          <t>No 2026 data - month has not happened.</t>
        </is>
      </c>
    </row>
    <row r="29">
      <c r="A29" s="11" t="inlineStr">
        <is>
          <t>TOTAL</t>
        </is>
      </c>
      <c r="B29" s="12" t="n">
        <v>1328827.63</v>
      </c>
      <c r="C29" s="12" t="n">
        <v>753325.2000000001</v>
      </c>
      <c r="D29" s="12" t="n">
        <v>-575502.4300000003</v>
      </c>
      <c r="F29" s="32" t="inlineStr">
        <is>
          <t>2026 total is eight months against twelve. Do not read the difference as a decline.</t>
        </is>
      </c>
    </row>
    <row r="32">
      <c r="A32" s="6" t="inlineStr">
        <is>
          <t>C.  WHERE THE MONEY WENT - SAME CLASSIFICATION, BOTH YEARS</t>
        </is>
      </c>
      <c r="B32" s="6" t="n"/>
      <c r="C32" s="6" t="n"/>
      <c r="D32" s="6" t="n"/>
      <c r="E32" s="6" t="n"/>
      <c r="F32" s="6" t="n"/>
    </row>
    <row r="33" ht="34" customHeight="1">
      <c r="A33" s="4" t="inlineStr">
        <is>
          <t>Category</t>
        </is>
      </c>
      <c r="B33" s="5" t="inlineStr">
        <is>
          <t>2025 full year</t>
        </is>
      </c>
      <c r="C33" s="5" t="inlineStr">
        <is>
          <t>2025 records</t>
        </is>
      </c>
      <c r="D33" s="5" t="inlineStr">
        <is>
          <t>2026 to 24 Aug</t>
        </is>
      </c>
      <c r="E33" s="5" t="inlineStr">
        <is>
          <t>2026 records</t>
        </is>
      </c>
      <c r="F33" s="5" t="inlineStr">
        <is>
          <t>% of 2026 revenue</t>
        </is>
      </c>
    </row>
    <row r="34">
      <c r="A34" s="6" t="inlineStr">
        <is>
          <t>COST OF GOODS SOLD</t>
        </is>
      </c>
      <c r="B34" s="33" t="n"/>
      <c r="C34" s="33" t="n"/>
      <c r="D34" s="33" t="n"/>
      <c r="E34" s="33" t="n"/>
      <c r="F34" s="33" t="n"/>
    </row>
    <row r="35">
      <c r="A35" s="34" t="inlineStr">
        <is>
          <t>jobServicesPermitsAndMeasurement</t>
        </is>
      </c>
      <c r="B35" s="8" t="n">
        <v>33504.47000000002</v>
      </c>
      <c r="C35" s="35" t="n">
        <v>73</v>
      </c>
      <c r="D35" s="8" t="n">
        <v>30750.51999999999</v>
      </c>
      <c r="E35" s="35" t="n">
        <v>59</v>
      </c>
      <c r="F35" s="19" t="n">
        <v>0.04081971504471109</v>
      </c>
    </row>
    <row r="36">
      <c r="A36" s="34" t="inlineStr">
        <is>
          <t>materials</t>
        </is>
      </c>
      <c r="B36" s="8" t="n">
        <v>539818.39</v>
      </c>
      <c r="C36" s="35" t="n">
        <v>126</v>
      </c>
      <c r="D36" s="8" t="n">
        <v>285160.4800000001</v>
      </c>
      <c r="E36" s="35" t="n">
        <v>77</v>
      </c>
      <c r="F36" s="19" t="n">
        <v>0.3785356974650524</v>
      </c>
    </row>
    <row r="37">
      <c r="A37" s="34" t="inlineStr">
        <is>
          <t>subcontractLabor</t>
        </is>
      </c>
      <c r="B37" s="8" t="n">
        <v>180264.62</v>
      </c>
      <c r="C37" s="35" t="n">
        <v>29</v>
      </c>
      <c r="D37" s="8" t="n">
        <v>112478</v>
      </c>
      <c r="E37" s="35" t="n">
        <v>30</v>
      </c>
      <c r="F37" s="19" t="n">
        <v>0.1493086916513612</v>
      </c>
    </row>
    <row r="38">
      <c r="A38" s="11" t="inlineStr">
        <is>
          <t xml:space="preserve">  total cost of goods sold</t>
        </is>
      </c>
      <c r="B38" s="12" t="n">
        <v>753587.48</v>
      </c>
      <c r="C38" s="12" t="n"/>
      <c r="D38" s="12" t="n">
        <v>428389.0000000001</v>
      </c>
      <c r="E38" s="12" t="n"/>
      <c r="F38" s="13" t="n">
        <v>0.5686641041611247</v>
      </c>
    </row>
    <row r="39">
      <c r="A39" s="6" t="inlineStr">
        <is>
          <t>OVERHEAD</t>
        </is>
      </c>
      <c r="B39" s="33" t="n"/>
      <c r="C39" s="33" t="n"/>
      <c r="D39" s="33" t="n"/>
      <c r="E39" s="33" t="n"/>
      <c r="F39" s="33" t="n"/>
    </row>
    <row r="40">
      <c r="A40" s="34" t="inlineStr">
        <is>
          <t>bankAndCardFees</t>
        </is>
      </c>
      <c r="B40" s="8" t="n">
        <v>25</v>
      </c>
      <c r="C40" s="35" t="n">
        <v>1</v>
      </c>
      <c r="D40" s="8" t="n">
        <v>-0</v>
      </c>
      <c r="E40" s="35" t="n">
        <v>0</v>
      </c>
      <c r="F40" s="19" t="n">
        <v>-0</v>
      </c>
    </row>
    <row r="41">
      <c r="A41" s="34" t="inlineStr">
        <is>
          <t>duesAndSubscriptions</t>
        </is>
      </c>
      <c r="B41" s="8" t="n">
        <v>-0</v>
      </c>
      <c r="C41" s="35" t="n">
        <v>0</v>
      </c>
      <c r="D41" s="8" t="n">
        <v>500</v>
      </c>
      <c r="E41" s="35" t="n">
        <v>1</v>
      </c>
      <c r="F41" s="19" t="n">
        <v>0.0006637239800288109</v>
      </c>
    </row>
    <row r="42">
      <c r="A42" s="34" t="inlineStr">
        <is>
          <t>fuel</t>
        </is>
      </c>
      <c r="B42" s="8" t="n">
        <v>10366.43</v>
      </c>
      <c r="C42" s="35" t="n">
        <v>173</v>
      </c>
      <c r="D42" s="8" t="n">
        <v>7412.009999999998</v>
      </c>
      <c r="E42" s="35" t="n">
        <v>96</v>
      </c>
      <c r="F42" s="19" t="n">
        <v>0.00983905755442669</v>
      </c>
    </row>
    <row r="43">
      <c r="A43" s="34" t="inlineStr">
        <is>
          <t>insurance</t>
        </is>
      </c>
      <c r="B43" s="8" t="n">
        <v>8873.669999999998</v>
      </c>
      <c r="C43" s="35" t="n">
        <v>5</v>
      </c>
      <c r="D43" s="8" t="n">
        <v>9401.799999999999</v>
      </c>
      <c r="E43" s="35" t="n">
        <v>4</v>
      </c>
      <c r="F43" s="19" t="n">
        <v>0.01248040023086975</v>
      </c>
    </row>
    <row r="44">
      <c r="A44" s="34" t="inlineStr">
        <is>
          <t>marketingAndAdvertising</t>
        </is>
      </c>
      <c r="B44" s="8" t="n">
        <v>14758.67</v>
      </c>
      <c r="C44" s="35" t="n">
        <v>23</v>
      </c>
      <c r="D44" s="8" t="n">
        <v>18979.56</v>
      </c>
      <c r="E44" s="35" t="n">
        <v>21</v>
      </c>
      <c r="F44" s="19" t="n">
        <v>0.02519437820479124</v>
      </c>
    </row>
    <row r="45">
      <c r="A45" s="34" t="inlineStr">
        <is>
          <t>mealsAndEntertainment</t>
        </is>
      </c>
      <c r="B45" s="8" t="n">
        <v>16423.48</v>
      </c>
      <c r="C45" s="35" t="n">
        <v>158</v>
      </c>
      <c r="D45" s="8" t="n">
        <v>5600.990000000003</v>
      </c>
      <c r="E45" s="35" t="n">
        <v>86</v>
      </c>
      <c r="F45" s="19" t="n">
        <v>0.007435022749803144</v>
      </c>
    </row>
    <row r="46">
      <c r="A46" s="34" t="inlineStr">
        <is>
          <t>officeAndSupplies</t>
        </is>
      </c>
      <c r="B46" s="8" t="n">
        <v>16963.24</v>
      </c>
      <c r="C46" s="35" t="n">
        <v>25</v>
      </c>
      <c r="D46" s="8" t="n">
        <v>1106.58</v>
      </c>
      <c r="E46" s="35" t="n">
        <v>11</v>
      </c>
      <c r="F46" s="19" t="n">
        <v>0.001468927363640563</v>
      </c>
    </row>
    <row r="47">
      <c r="A47" s="34" t="inlineStr">
        <is>
          <t>professionalFees</t>
        </is>
      </c>
      <c r="B47" s="8" t="n">
        <v>7887.65</v>
      </c>
      <c r="C47" s="35" t="n">
        <v>7</v>
      </c>
      <c r="D47" s="8" t="n">
        <v>13625.5</v>
      </c>
      <c r="E47" s="35" t="n">
        <v>9</v>
      </c>
      <c r="F47" s="19" t="n">
        <v>0.01808714217976512</v>
      </c>
    </row>
    <row r="48">
      <c r="A48" s="34" t="inlineStr">
        <is>
          <t>rent</t>
        </is>
      </c>
      <c r="B48" s="8" t="n">
        <v>22500</v>
      </c>
      <c r="C48" s="35" t="n">
        <v>3</v>
      </c>
      <c r="D48" s="8" t="n">
        <v>26000</v>
      </c>
      <c r="E48" s="35" t="n">
        <v>1</v>
      </c>
      <c r="F48" s="19" t="n">
        <v>0.03451364696149817</v>
      </c>
    </row>
    <row r="49">
      <c r="A49" s="34" t="inlineStr">
        <is>
          <t>softwareAndCommunications</t>
        </is>
      </c>
      <c r="B49" s="8" t="n">
        <v>5409.52</v>
      </c>
      <c r="C49" s="35" t="n">
        <v>40</v>
      </c>
      <c r="D49" s="8" t="n">
        <v>5370.670000000001</v>
      </c>
      <c r="E49" s="35" t="n">
        <v>33</v>
      </c>
      <c r="F49" s="19" t="n">
        <v>0.007129284935642669</v>
      </c>
    </row>
    <row r="50">
      <c r="A50" s="34" t="inlineStr">
        <is>
          <t>taxesAndLicenses</t>
        </is>
      </c>
      <c r="B50" s="8" t="n">
        <v>-0</v>
      </c>
      <c r="C50" s="35" t="n">
        <v>0</v>
      </c>
      <c r="D50" s="8" t="n">
        <v>293.23</v>
      </c>
      <c r="E50" s="35" t="n">
        <v>1</v>
      </c>
      <c r="F50" s="19" t="n">
        <v>0.0003892475653276964</v>
      </c>
    </row>
    <row r="51">
      <c r="A51" s="34" t="inlineStr">
        <is>
          <t>travel</t>
        </is>
      </c>
      <c r="B51" s="8" t="n">
        <v>9223.699999999999</v>
      </c>
      <c r="C51" s="35" t="n">
        <v>16</v>
      </c>
      <c r="D51" s="8" t="n">
        <v>-0</v>
      </c>
      <c r="E51" s="35" t="n">
        <v>0</v>
      </c>
      <c r="F51" s="19" t="n">
        <v>-0</v>
      </c>
    </row>
    <row r="52">
      <c r="A52" s="34" t="inlineStr">
        <is>
          <t>utilities</t>
        </is>
      </c>
      <c r="B52" s="8" t="n">
        <v>1275.49</v>
      </c>
      <c r="C52" s="35" t="n">
        <v>8</v>
      </c>
      <c r="D52" s="8" t="n">
        <v>2254.91</v>
      </c>
      <c r="E52" s="35" t="n">
        <v>11</v>
      </c>
      <c r="F52" s="19" t="n">
        <v>0.002993275679613532</v>
      </c>
    </row>
    <row r="53">
      <c r="A53" s="34" t="inlineStr">
        <is>
          <t>vehicleAndEquipment</t>
        </is>
      </c>
      <c r="B53" s="8" t="n">
        <v>2496</v>
      </c>
      <c r="C53" s="35" t="n">
        <v>27</v>
      </c>
      <c r="D53" s="8" t="n">
        <v>2160.079999999999</v>
      </c>
      <c r="E53" s="35" t="n">
        <v>19</v>
      </c>
      <c r="F53" s="19" t="n">
        <v>0.002867393789561267</v>
      </c>
    </row>
    <row r="54">
      <c r="A54" s="34" t="inlineStr">
        <is>
          <t>vendorRefundsAndCredits</t>
        </is>
      </c>
      <c r="B54" s="8" t="n">
        <v>-766.0000000000002</v>
      </c>
      <c r="C54" s="35" t="n">
        <v>20</v>
      </c>
      <c r="D54" s="8" t="n">
        <v>-204.74</v>
      </c>
      <c r="E54" s="35" t="n">
        <v>16</v>
      </c>
      <c r="F54" s="19" t="n">
        <v>-0.0002717816953421975</v>
      </c>
    </row>
    <row r="55">
      <c r="A55" s="11" t="inlineStr">
        <is>
          <t xml:space="preserve">  total overhead</t>
        </is>
      </c>
      <c r="B55" s="12" t="n">
        <v>115436.85</v>
      </c>
      <c r="C55" s="12" t="n"/>
      <c r="D55" s="12" t="n">
        <v>92500.59</v>
      </c>
      <c r="E55" s="12" t="n"/>
      <c r="F55" s="13" t="n">
        <v>0.1227897194996264</v>
      </c>
    </row>
    <row r="56">
      <c r="A56" s="6" t="inlineStr">
        <is>
          <t>OWNER PAY</t>
        </is>
      </c>
      <c r="B56" s="33" t="n"/>
      <c r="C56" s="33" t="n"/>
      <c r="D56" s="33" t="n"/>
      <c r="E56" s="33" t="n"/>
      <c r="F56" s="33" t="n"/>
    </row>
    <row r="57">
      <c r="A57" s="34" t="inlineStr">
        <is>
          <t>ownerCashDrawsAndGuaranteedPayments</t>
        </is>
      </c>
      <c r="B57" s="8" t="n">
        <v>238320</v>
      </c>
      <c r="C57" s="35" t="n">
        <v>24</v>
      </c>
      <c r="D57" s="8" t="n">
        <v>140000</v>
      </c>
      <c r="E57" s="35" t="n">
        <v>16</v>
      </c>
      <c r="F57" s="19" t="n">
        <v>0.185842714408067</v>
      </c>
    </row>
    <row r="58">
      <c r="A58" s="11" t="inlineStr">
        <is>
          <t xml:space="preserve">  total owner pay</t>
        </is>
      </c>
      <c r="B58" s="12" t="n">
        <v>238320</v>
      </c>
      <c r="C58" s="12" t="n"/>
      <c r="D58" s="12" t="n">
        <v>140000</v>
      </c>
      <c r="E58" s="12" t="n"/>
      <c r="F58" s="13" t="n">
        <v>0.185842714408067</v>
      </c>
    </row>
    <row r="59">
      <c r="A59" s="6" t="inlineStr">
        <is>
          <t>CAPITAL AND FINANCING</t>
        </is>
      </c>
      <c r="B59" s="33" t="n"/>
      <c r="C59" s="33" t="n"/>
      <c r="D59" s="33" t="n"/>
      <c r="E59" s="33" t="n"/>
      <c r="F59" s="33" t="n"/>
    </row>
    <row r="60">
      <c r="A60" s="34" t="inlineStr">
        <is>
          <t>vehiclePurchaseAndLoanPayoff</t>
        </is>
      </c>
      <c r="B60" s="8" t="n">
        <v>118400.27</v>
      </c>
      <c r="C60" s="35" t="n">
        <v>4</v>
      </c>
      <c r="D60" s="8" t="n">
        <v>-0</v>
      </c>
      <c r="E60" s="35" t="n">
        <v>0</v>
      </c>
      <c r="F60" s="19" t="n">
        <v>-0</v>
      </c>
    </row>
    <row r="61">
      <c r="A61" s="11" t="inlineStr">
        <is>
          <t xml:space="preserve">  total capital and financing</t>
        </is>
      </c>
      <c r="B61" s="12" t="n">
        <v>118400.27</v>
      </c>
      <c r="C61" s="12" t="n"/>
      <c r="D61" s="12" t="n">
        <v>0</v>
      </c>
      <c r="E61" s="12" t="n"/>
      <c r="F61" s="13" t="n">
        <v>0</v>
      </c>
    </row>
    <row r="62">
      <c r="A62" s="6" t="inlineStr">
        <is>
          <t>NON-OPERATING</t>
        </is>
      </c>
      <c r="B62" s="33" t="n"/>
      <c r="C62" s="33" t="n"/>
      <c r="D62" s="33" t="n"/>
      <c r="E62" s="33" t="n"/>
      <c r="F62" s="33" t="n"/>
    </row>
    <row r="63">
      <c r="A63" s="34" t="inlineStr">
        <is>
          <t>nonOperatingItems</t>
        </is>
      </c>
      <c r="B63" s="8" t="n">
        <v>-0</v>
      </c>
      <c r="C63" s="35" t="n">
        <v>0</v>
      </c>
      <c r="D63" s="8" t="n">
        <v>8267</v>
      </c>
      <c r="E63" s="35" t="n">
        <v>1</v>
      </c>
      <c r="F63" s="19" t="n">
        <v>0.01097401228579636</v>
      </c>
    </row>
    <row r="64">
      <c r="A64" s="11" t="inlineStr">
        <is>
          <t xml:space="preserve">  total non-operating</t>
        </is>
      </c>
      <c r="B64" s="12" t="n">
        <v>0</v>
      </c>
      <c r="C64" s="12" t="n"/>
      <c r="D64" s="12" t="n">
        <v>8267</v>
      </c>
      <c r="E64" s="12" t="n"/>
      <c r="F64" s="13" t="n">
        <v>0.01097401228579636</v>
      </c>
    </row>
    <row r="65">
      <c r="A65" s="6" t="inlineStr">
        <is>
          <t>NOT IDENTIFIABLE</t>
        </is>
      </c>
      <c r="B65" s="33" t="n"/>
      <c r="C65" s="33" t="n"/>
      <c r="D65" s="33" t="n"/>
      <c r="E65" s="33" t="n"/>
      <c r="F65" s="33" t="n"/>
    </row>
    <row r="66">
      <c r="A66" s="34" t="inlineStr">
        <is>
          <t>cashWithdrawalPurposeUnknown</t>
        </is>
      </c>
      <c r="B66" s="8" t="n">
        <v>24218.44</v>
      </c>
      <c r="C66" s="35" t="n">
        <v>14</v>
      </c>
      <c r="D66" s="8" t="n">
        <v>5400</v>
      </c>
      <c r="E66" s="35" t="n">
        <v>4</v>
      </c>
      <c r="F66" s="19" t="n">
        <v>0.007168218984311157</v>
      </c>
    </row>
    <row r="67">
      <c r="A67" s="34" t="inlineStr">
        <is>
          <t>checkPayeeUnresolved</t>
        </is>
      </c>
      <c r="B67" s="8" t="n">
        <v>1400</v>
      </c>
      <c r="C67" s="35" t="n">
        <v>3</v>
      </c>
      <c r="D67" s="8" t="n">
        <v>917</v>
      </c>
      <c r="E67" s="35" t="n">
        <v>5</v>
      </c>
      <c r="F67" s="19" t="n">
        <v>0.001217269779372839</v>
      </c>
    </row>
    <row r="68">
      <c r="A68" s="34" t="inlineStr">
        <is>
          <t>otherUnresolved</t>
        </is>
      </c>
      <c r="B68" s="8" t="n">
        <v>6777.329999999997</v>
      </c>
      <c r="C68" s="35" t="n">
        <v>138</v>
      </c>
      <c r="D68" s="8" t="n">
        <v>2974.02</v>
      </c>
      <c r="E68" s="35" t="n">
        <v>88</v>
      </c>
      <c r="F68" s="19" t="n">
        <v>0.003947856782170568</v>
      </c>
    </row>
    <row r="69">
      <c r="A69" s="11" t="inlineStr">
        <is>
          <t xml:space="preserve">  total not identifiable</t>
        </is>
      </c>
      <c r="B69" s="12" t="n">
        <v>32395.77</v>
      </c>
      <c r="C69" s="12" t="n"/>
      <c r="D69" s="12" t="n">
        <v>9291.02</v>
      </c>
      <c r="E69" s="12" t="n"/>
      <c r="F69" s="13" t="n">
        <v>0.01233334554585457</v>
      </c>
    </row>
    <row r="72">
      <c r="A72" s="6" t="inlineStr">
        <is>
          <t>D.  THE FULL-YEAR 2026 PROJECTION - SHOWING THE ARITHMETIC</t>
        </is>
      </c>
      <c r="B72" s="6" t="n"/>
      <c r="C72" s="6" t="n"/>
      <c r="D72" s="6" t="n"/>
      <c r="E72" s="6" t="n"/>
      <c r="F72" s="6" t="n"/>
    </row>
    <row r="73" ht="34" customHeight="1">
      <c r="A73" s="4" t="inlineStr">
        <is>
          <t>Step</t>
        </is>
      </c>
      <c r="B73" s="5" t="inlineStr">
        <is>
          <t>Value</t>
        </is>
      </c>
      <c r="C73" s="5" t="inlineStr"/>
      <c r="D73" s="5" t="inlineStr"/>
      <c r="E73" s="5" t="inlineStr"/>
      <c r="F73" s="5" t="inlineStr">
        <is>
          <t>Basis</t>
        </is>
      </c>
    </row>
    <row r="74">
      <c r="A74" s="36" t="inlineStr">
        <is>
          <t>2026 cash collected, 1 Jan - 24 Aug (ACTUAL)</t>
        </is>
      </c>
      <c r="B74" s="37" t="n">
        <v>753325.2000000001</v>
      </c>
      <c r="F74" s="20" t="inlineStr">
        <is>
          <t>Measured. Not an estimate.</t>
        </is>
      </c>
    </row>
    <row r="75">
      <c r="A75" s="36" t="inlineStr">
        <is>
          <t>2025 cash collected in the same window, 1 Jan - 24 Aug</t>
        </is>
      </c>
      <c r="B75" s="37" t="n">
        <v>943701.5300000001</v>
      </c>
      <c r="F75" s="20" t="inlineStr">
        <is>
          <t>Measured.</t>
        </is>
      </c>
    </row>
    <row r="76">
      <c r="A76" s="36" t="inlineStr">
        <is>
          <t>2025 cash collected, full year</t>
        </is>
      </c>
      <c r="B76" s="37" t="n">
        <v>1328827.63</v>
      </c>
      <c r="F76" s="20" t="inlineStr">
        <is>
          <t>Measured.</t>
        </is>
      </c>
    </row>
    <row r="77">
      <c r="A77" s="36" t="inlineStr">
        <is>
          <t>Share of the 2025 year collected by 24 Aug - method 1, as-is</t>
        </is>
      </c>
      <c r="B77" s="38" t="n">
        <v>0.7101760293771133</v>
      </c>
      <c r="F77" s="20" t="inlineStr">
        <is>
          <t>Distorted upward by the $407,007 March deposit.</t>
        </is>
      </c>
    </row>
    <row r="78">
      <c r="A78" s="36" t="inlineStr">
        <is>
          <t>Share of the 2025 year collected by 24 Aug - method 2, outlier removed</t>
        </is>
      </c>
      <c r="B78" s="38" t="n">
        <v>0.5822114547382172</v>
      </c>
      <c r="F78" s="20" t="inlineStr">
        <is>
          <t>The $407,007 deposit stripped from both numerator and denominator.</t>
        </is>
      </c>
    </row>
    <row r="79">
      <c r="A79" s="36" t="inlineStr">
        <is>
          <t>2026 full-year revenue, PROJECTED LOW  = actual / method 1</t>
        </is>
      </c>
      <c r="B79" s="39" t="n">
        <v>1060758.415995443</v>
      </c>
      <c r="F79" s="31" t="inlineStr">
        <is>
          <t>PROJECTION</t>
        </is>
      </c>
    </row>
    <row r="80">
      <c r="A80" s="36" t="inlineStr">
        <is>
          <t>2026 full-year revenue, PROJECTED HIGH = actual / method 2</t>
        </is>
      </c>
      <c r="B80" s="39" t="n">
        <v>1293903.08945179</v>
      </c>
      <c r="F80" s="31" t="inlineStr">
        <is>
          <t>PROJECTION</t>
        </is>
      </c>
    </row>
    <row r="81">
      <c r="A81" s="36" t="inlineStr">
        <is>
          <t>Cost of goods sold is scaled on the same collection factor</t>
        </is>
      </c>
      <c r="B81" s="37" t="n"/>
      <c r="F81" s="20" t="inlineStr">
        <is>
          <t>It is job-driven, so it moves with the work.</t>
        </is>
      </c>
    </row>
    <row r="82">
      <c r="A82" s="36" t="inlineStr">
        <is>
          <t>Share of the calendar year elapsed by 24 August</t>
        </is>
      </c>
      <c r="B82" s="38" t="n">
        <v>0.6465753424657534</v>
      </c>
      <c r="F82" s="20" t="inlineStr">
        <is>
          <t>236 days of 365.</t>
        </is>
      </c>
    </row>
    <row r="83">
      <c r="A83" s="36" t="inlineStr">
        <is>
          <t>Overhead is scaled on calendar time, NOT on revenue</t>
        </is>
      </c>
      <c r="B83" s="37" t="n"/>
      <c r="F83" s="20" t="inlineStr">
        <is>
          <t>Insurance, software, fuel and professional fees are periodic, not job-driven.</t>
        </is>
      </c>
    </row>
    <row r="84">
      <c r="A84" s="36" t="inlineStr">
        <is>
          <t>Rent is held flat at what was actually paid</t>
        </is>
      </c>
      <c r="B84" s="37" t="n">
        <v>26000</v>
      </c>
      <c r="F84" s="20" t="inlineStr">
        <is>
          <t>Check 2130, $26,000 on 11 February 2026, prepaid for the whole year. It does not scale.</t>
        </is>
      </c>
    </row>
    <row r="85">
      <c r="A85" s="36" t="inlineStr">
        <is>
          <t>Owner pay is scaled on calendar time</t>
        </is>
      </c>
      <c r="B85" s="37" t="n"/>
      <c r="F85" s="20" t="inlineStr">
        <is>
          <t>The owners have been taking an even $5,000-a-side rhythm plus two $30,000 draws.</t>
        </is>
      </c>
    </row>
    <row r="86" ht="46" customHeight="1">
      <c r="A86" s="18" t="inlineStr">
        <is>
          <t xml:space="preserve">     The band is wide because it rests on a single year of collection history, and that year contains one deposit big enough to move the whole pattern. A 2026 profit and loss statement from the bookkeeper would close this band to a point. Until then the honest statement is a range, and the only measured 2026 number on this page is the year-to-date column.</t>
        </is>
      </c>
    </row>
    <row r="88">
      <c r="A88" s="6" t="inlineStr">
        <is>
          <t>E.  WHY A LIKE-FOR-LIKE PARTIAL YEAR DOES NOT WORK HERE</t>
        </is>
      </c>
      <c r="B88" s="6" t="n"/>
      <c r="C88" s="6" t="n"/>
      <c r="D88" s="6" t="n"/>
      <c r="E88" s="6" t="n"/>
      <c r="F88" s="6" t="n"/>
    </row>
    <row r="89" ht="34" customHeight="1">
      <c r="A89" s="4" t="inlineStr"/>
      <c r="B89" s="5" t="inlineStr">
        <is>
          <t>2025 1 Jan - 24 Aug</t>
        </is>
      </c>
      <c r="C89" s="5" t="inlineStr">
        <is>
          <t>2026 1 Jan - 24 Aug</t>
        </is>
      </c>
      <c r="D89" s="5" t="inlineStr"/>
      <c r="E89" s="5" t="inlineStr"/>
      <c r="F89" s="5" t="inlineStr">
        <is>
          <t>Reading</t>
        </is>
      </c>
    </row>
    <row r="90">
      <c r="A90" s="7" t="inlineStr">
        <is>
          <t>Cash collected</t>
        </is>
      </c>
      <c r="B90" s="8" t="n">
        <v>943701.5300000001</v>
      </c>
      <c r="C90" s="8" t="n">
        <v>753325.2000000001</v>
      </c>
      <c r="F90" s="20" t="inlineStr"/>
    </row>
    <row r="91">
      <c r="A91" s="7" t="inlineStr">
        <is>
          <t>Gross margin</t>
        </is>
      </c>
      <c r="B91" s="19" t="n">
        <v>0.5401770197405528</v>
      </c>
      <c r="C91" s="19" t="n">
        <v>0.4313358958388754</v>
      </c>
      <c r="F91" s="20" t="inlineStr">
        <is>
          <t>The 2025 figure is a cash-timing artifact: the March money landed early and the materials for it were paid later in the year.</t>
        </is>
      </c>
    </row>
    <row r="92">
      <c r="A92" s="7" t="inlineStr">
        <is>
          <t>Net margin</t>
        </is>
      </c>
      <c r="B92" s="19" t="n">
        <v>0.2986454838109669</v>
      </c>
      <c r="C92" s="19" t="n">
        <v>0.1227034619311819</v>
      </c>
      <c r="F92" s="20" t="inlineStr">
        <is>
          <t>Same artifact.</t>
        </is>
      </c>
    </row>
    <row r="93" ht="42" customHeight="1">
      <c r="A93" s="18" t="inlineStr">
        <is>
          <t xml:space="preserve">     Strip the single $407,007 March deposit out and the 2025 part-year gross margin falls from 54.02% to 19.15%. Neither figure describes the business. This is why the comparison on tab 1 is full-year 2025 against 2026 year-to-date, with the basis of each column stated, rather than a part-year against a part-year.</t>
        </is>
      </c>
    </row>
    <row r="95">
      <c r="A95" s="6" t="inlineStr">
        <is>
          <t>F.  REVENUE HISTORY - AND WHY THE HEADLINE GROWTH RATE IS MISLEADING</t>
        </is>
      </c>
      <c r="B95" s="6" t="n"/>
      <c r="C95" s="6" t="n"/>
      <c r="D95" s="6" t="n"/>
      <c r="E95" s="6" t="n"/>
      <c r="F95" s="6" t="n"/>
    </row>
    <row r="96" ht="34" customHeight="1">
      <c r="A96" s="4" t="inlineStr">
        <is>
          <t>Year</t>
        </is>
      </c>
      <c r="B96" s="5" t="inlineStr">
        <is>
          <t>Revenue</t>
        </is>
      </c>
      <c r="C96" s="5" t="inlineStr">
        <is>
          <t>Gross margin</t>
        </is>
      </c>
      <c r="D96" s="5" t="inlineStr">
        <is>
          <t>Net margin</t>
        </is>
      </c>
      <c r="E96" s="5" t="inlineStr">
        <is>
          <t>Basis</t>
        </is>
      </c>
      <c r="F96" s="5" t="inlineStr">
        <is>
          <t>Note</t>
        </is>
      </c>
    </row>
    <row r="97">
      <c r="A97" s="22" t="inlineStr">
        <is>
          <t>2024</t>
        </is>
      </c>
      <c r="B97" s="37" t="n">
        <v>634182</v>
      </c>
      <c r="C97" s="38" t="n">
        <v>0.197357</v>
      </c>
      <c r="D97" s="38" t="n">
        <v>0.035513</v>
      </c>
      <c r="E97" s="36" t="inlineStr">
        <is>
          <t>Form 1065 comparative</t>
        </is>
      </c>
      <c r="F97" s="31" t="inlineStr">
        <is>
          <t>PARTIAL YEAR. The business start date on the return is 15 May 2024, so this is roughly 7.5 months, not 12.</t>
        </is>
      </c>
    </row>
    <row r="98">
      <c r="A98" s="22" t="inlineStr">
        <is>
          <t>2025</t>
        </is>
      </c>
      <c r="B98" s="37" t="n">
        <v>1189873</v>
      </c>
      <c r="C98" s="38" t="n">
        <v>0.357915</v>
      </c>
      <c r="D98" s="38" t="n">
        <v>0.118714</v>
      </c>
      <c r="E98" s="36" t="inlineStr">
        <is>
          <t>Filed Form 1065</t>
        </is>
      </c>
      <c r="F98" s="20" t="inlineStr">
        <is>
          <t>First full year.</t>
        </is>
      </c>
    </row>
    <row r="99">
      <c r="A99" s="22" t="inlineStr">
        <is>
          <t>2026 to 24 Aug</t>
        </is>
      </c>
      <c r="B99" s="37" t="n">
        <v>753325.2000000001</v>
      </c>
      <c r="C99" s="38" t="n">
        <v>0.4313358958388754</v>
      </c>
      <c r="D99" s="38" t="n">
        <v>0.1227034619311819</v>
      </c>
      <c r="E99" s="36" t="inlineStr">
        <is>
          <t>Bank and card, ACTUAL</t>
        </is>
      </c>
      <c r="F99" s="20" t="inlineStr">
        <is>
          <t>Eight months of cash, not a full year.</t>
        </is>
      </c>
    </row>
    <row r="100">
      <c r="A100" s="22" t="inlineStr">
        <is>
          <t>2026 projected low</t>
        </is>
      </c>
      <c r="B100" s="37" t="n">
        <v>1060758.415995443</v>
      </c>
      <c r="C100" s="38" t="n">
        <v>0.4313358958388754</v>
      </c>
      <c r="D100" s="38" t="n">
        <v>0.1057425210496777</v>
      </c>
      <c r="E100" s="36" t="inlineStr">
        <is>
          <t>Projection</t>
        </is>
      </c>
      <c r="F100" s="20" t="inlineStr"/>
    </row>
    <row r="101">
      <c r="A101" s="22" t="inlineStr">
        <is>
          <t>2026 projected high</t>
        </is>
      </c>
      <c r="B101" s="37" t="n">
        <v>1293903.08945179</v>
      </c>
      <c r="C101" s="38" t="n">
        <v>0.4313358958388754</v>
      </c>
      <c r="D101" s="38" t="n">
        <v>0.1644102540998706</v>
      </c>
      <c r="E101" s="36" t="inlineStr">
        <is>
          <t>Projection</t>
        </is>
      </c>
      <c r="F101" s="20" t="inlineStr"/>
    </row>
    <row r="103">
      <c r="A103" s="22" t="inlineStr">
        <is>
          <t>2024 to 2025 revenue growth, headline</t>
        </is>
      </c>
      <c r="B103" s="23" t="n">
        <v>0.8762326903002609</v>
      </c>
      <c r="C103" s="40" t="n"/>
      <c r="D103" s="40" t="n"/>
      <c r="E103" s="40" t="n"/>
      <c r="F103" s="20" t="inlineStr">
        <is>
          <t>$634,182 to $1,189,873, taken at face value.</t>
        </is>
      </c>
    </row>
    <row r="104">
      <c r="A104" s="22" t="inlineStr">
        <is>
          <t>2024 to 2025 revenue growth, annualized</t>
        </is>
      </c>
      <c r="B104" s="23" t="n">
        <v>0.1726454314376631</v>
      </c>
      <c r="C104" s="40" t="n"/>
      <c r="D104" s="40" t="n"/>
      <c r="E104" s="40" t="n"/>
      <c r="F104" s="20" t="inlineStr">
        <is>
          <t>2024 grossed up from 7.5 months to 12. This is the honest number, and it is a very different story from the headline.</t>
        </is>
      </c>
    </row>
    <row r="105" ht="42" customHeight="1">
      <c r="A105" s="18" t="inlineStr">
        <is>
          <t xml:space="preserve">     Whether 2024 was a partial year is not settled. The return says the business started 15 May 2024; the engagement notes say the owners have been operating since roughly 2023. Both cannot be right, and the answer changes the growth rate by more than seventy points. Ask the owners.</t>
        </is>
      </c>
    </row>
  </sheetData>
  <mergeCells count="3">
    <mergeCell ref="A105:F105"/>
    <mergeCell ref="A86:F86"/>
    <mergeCell ref="A93:F9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
  <sheetViews>
    <sheetView showGridLines="0" workbookViewId="0">
      <pane ySplit="5" topLeftCell="A6" activePane="bottomLeft" state="frozen"/>
      <selection pane="bottomLeft" activeCell="A1" sqref="A1"/>
    </sheetView>
  </sheetViews>
  <sheetFormatPr baseColWidth="8" defaultRowHeight="15"/>
  <cols>
    <col width="42" customWidth="1" min="1" max="1"/>
    <col width="18" customWidth="1" min="2" max="2"/>
    <col width="46" customWidth="1" min="3" max="3"/>
    <col width="24" customWidth="1" min="4" max="4"/>
    <col width="30" customWidth="1" min="5" max="5"/>
  </cols>
  <sheetData>
    <row r="1" ht="22" customHeight="1">
      <c r="A1" s="1" t="inlineStr">
        <is>
          <t>Sources and Method</t>
        </is>
      </c>
    </row>
    <row r="2">
      <c r="A2" s="2" t="inlineStr">
        <is>
          <t>One row per figure: the number, where it came from, and how far to trust it</t>
        </is>
      </c>
    </row>
    <row r="3">
      <c r="A3" s="3" t="inlineStr">
        <is>
          <t>Top Tier Roofing &amp; Remodeling, LLC   |   prepared 31 August 2026</t>
        </is>
      </c>
    </row>
    <row r="5" ht="34" customHeight="1">
      <c r="A5" s="4" t="inlineStr">
        <is>
          <t>Figure</t>
        </is>
      </c>
      <c r="B5" s="5" t="inlineStr">
        <is>
          <t>Value</t>
        </is>
      </c>
      <c r="C5" s="5" t="inlineStr">
        <is>
          <t>Source</t>
        </is>
      </c>
      <c r="D5" s="5" t="inlineStr">
        <is>
          <t>Basis</t>
        </is>
      </c>
      <c r="E5" s="5" t="inlineStr">
        <is>
          <t>Confidence</t>
        </is>
      </c>
    </row>
    <row r="6">
      <c r="A6" s="41" t="inlineStr">
        <is>
          <t>2025 revenue</t>
        </is>
      </c>
      <c r="B6" s="42" t="n">
        <v>1189873</v>
      </c>
      <c r="C6" s="41" t="inlineStr">
        <is>
          <t>Filed Form 1065, gross receipts</t>
        </is>
      </c>
      <c r="D6" s="41" t="inlineStr">
        <is>
          <t>Accrual</t>
        </is>
      </c>
      <c r="E6" s="41" t="inlineStr">
        <is>
          <t>VERIFIED</t>
        </is>
      </c>
    </row>
    <row r="7">
      <c r="A7" s="41" t="inlineStr">
        <is>
          <t>2025 cost of goods sold</t>
        </is>
      </c>
      <c r="B7" s="42" t="n">
        <v>763998</v>
      </c>
      <c r="C7" s="41" t="inlineStr">
        <is>
          <t>Filed Form 1065, Form 1125-A</t>
        </is>
      </c>
      <c r="D7" s="41" t="inlineStr">
        <is>
          <t>Accrual</t>
        </is>
      </c>
      <c r="E7" s="41" t="inlineStr">
        <is>
          <t>VERIFIED</t>
        </is>
      </c>
    </row>
    <row r="8">
      <c r="A8" s="41" t="inlineStr">
        <is>
          <t>2025 gross profit</t>
        </is>
      </c>
      <c r="B8" s="42" t="n">
        <v>425875</v>
      </c>
      <c r="C8" s="41" t="inlineStr">
        <is>
          <t>Filed Form 1065</t>
        </is>
      </c>
      <c r="D8" s="41" t="inlineStr">
        <is>
          <t>Accrual</t>
        </is>
      </c>
      <c r="E8" s="41" t="inlineStr">
        <is>
          <t>VERIFIED</t>
        </is>
      </c>
    </row>
    <row r="9">
      <c r="A9" s="41" t="inlineStr">
        <is>
          <t>2025 overhead</t>
        </is>
      </c>
      <c r="B9" s="42" t="n">
        <v>104621</v>
      </c>
      <c r="C9" s="41" t="inlineStr">
        <is>
          <t>Filed Form 1065, other deductions</t>
        </is>
      </c>
      <c r="D9" s="41" t="inlineStr">
        <is>
          <t>Accrual</t>
        </is>
      </c>
      <c r="E9" s="41" t="inlineStr">
        <is>
          <t>VERIFIED</t>
        </is>
      </c>
    </row>
    <row r="10">
      <c r="A10" s="41" t="inlineStr">
        <is>
          <t>2025 guaranteed payments</t>
        </is>
      </c>
      <c r="B10" s="42" t="n">
        <v>180000</v>
      </c>
      <c r="C10" s="41" t="inlineStr">
        <is>
          <t>Form 1065 line 10; $90,000 each</t>
        </is>
      </c>
      <c r="D10" s="41" t="inlineStr">
        <is>
          <t>Accrual</t>
        </is>
      </c>
      <c r="E10" s="41" t="inlineStr">
        <is>
          <t>VERIFIED</t>
        </is>
      </c>
    </row>
    <row r="11">
      <c r="A11" s="41" t="inlineStr">
        <is>
          <t>2025 distributions</t>
        </is>
      </c>
      <c r="B11" s="42" t="n">
        <v>0</v>
      </c>
      <c r="C11" s="41" t="inlineStr">
        <is>
          <t>Schedule K line 19a and Schedule M-2</t>
        </is>
      </c>
      <c r="D11" s="41" t="inlineStr">
        <is>
          <t>Accrual</t>
        </is>
      </c>
      <c r="E11" s="41" t="inlineStr">
        <is>
          <t>VERIFIED</t>
        </is>
      </c>
    </row>
    <row r="12">
      <c r="A12" s="41" t="inlineStr">
        <is>
          <t>2025 net profit (ordinary income)</t>
        </is>
      </c>
      <c r="B12" s="42" t="n">
        <v>141254</v>
      </c>
      <c r="C12" s="41" t="inlineStr">
        <is>
          <t>Form 1065 line 22</t>
        </is>
      </c>
      <c r="D12" s="41" t="inlineStr">
        <is>
          <t>Accrual</t>
        </is>
      </c>
      <c r="E12" s="41" t="inlineStr">
        <is>
          <t>VERIFIED</t>
        </is>
      </c>
    </row>
    <row r="13">
      <c r="A13" s="41" t="inlineStr">
        <is>
          <t>2025 owner benefit</t>
        </is>
      </c>
      <c r="B13" s="42" t="n">
        <v>321254</v>
      </c>
      <c r="C13" s="41" t="inlineStr">
        <is>
          <t>Ordinary income plus guaranteed payments</t>
        </is>
      </c>
      <c r="D13" s="41" t="inlineStr">
        <is>
          <t>Accrual</t>
        </is>
      </c>
      <c r="E13" s="41" t="inlineStr">
        <is>
          <t>VERIFIED - derived, ties to the penny</t>
        </is>
      </c>
    </row>
    <row r="14">
      <c r="A14" s="41" t="inlineStr">
        <is>
          <t>2025 Section 179</t>
        </is>
      </c>
      <c r="B14" s="42" t="n">
        <v>119935</v>
      </c>
      <c r="C14" s="41" t="inlineStr">
        <is>
          <t>Schedule K line 12, separately stated</t>
        </is>
      </c>
      <c r="D14" s="41" t="inlineStr">
        <is>
          <t>Accrual</t>
        </is>
      </c>
      <c r="E14" s="41" t="inlineStr">
        <is>
          <t>VERIFIED - not deducted from profit</t>
        </is>
      </c>
    </row>
    <row r="15">
      <c r="A15" s="41" t="inlineStr">
        <is>
          <t>2025 net income per books</t>
        </is>
      </c>
      <c r="B15" s="42" t="n">
        <v>19408</v>
      </c>
      <c r="C15" s="41" t="inlineStr">
        <is>
          <t>Schedule M-1</t>
        </is>
      </c>
      <c r="D15" s="41" t="inlineStr">
        <is>
          <t>Book</t>
        </is>
      </c>
      <c r="E15" s="41" t="inlineStr">
        <is>
          <t>VERIFIED</t>
        </is>
      </c>
    </row>
    <row r="16">
      <c r="A16" s="41" t="inlineStr">
        <is>
          <t>2025 partners' capital (owner EQUITY)</t>
        </is>
      </c>
      <c r="B16" s="42" t="n">
        <v>37667</v>
      </c>
      <c r="C16" s="41" t="inlineStr">
        <is>
          <t>Schedule L</t>
        </is>
      </c>
      <c r="D16" s="41" t="inlineStr">
        <is>
          <t>Book</t>
        </is>
      </c>
      <c r="E16" s="41" t="inlineStr">
        <is>
          <t>VERIFIED - and the balance sheet is out of balance by $210,612</t>
        </is>
      </c>
    </row>
    <row r="17">
      <c r="A17" s="41" t="inlineStr">
        <is>
          <t>2025 cash collected</t>
        </is>
      </c>
      <c r="B17" s="42" t="n">
        <v>1328827.63</v>
      </c>
      <c r="C17" s="41" t="inlineStr">
        <is>
          <t>Deerwood 1214, all deposits</t>
        </is>
      </c>
      <c r="D17" s="41" t="inlineStr">
        <is>
          <t>Cash</t>
        </is>
      </c>
      <c r="E17" s="41" t="inlineStr">
        <is>
          <t>ACTUAL</t>
        </is>
      </c>
    </row>
    <row r="18">
      <c r="A18" s="41" t="inlineStr">
        <is>
          <t>2025 cash cost of goods sold</t>
        </is>
      </c>
      <c r="B18" s="42" t="n">
        <v>753587.4799999994</v>
      </c>
      <c r="C18" s="41" t="inlineStr">
        <is>
          <t>Check payees, ACH, card detail</t>
        </is>
      </c>
      <c r="D18" s="41" t="inlineStr">
        <is>
          <t>Cash</t>
        </is>
      </c>
      <c r="E18" s="41" t="inlineStr">
        <is>
          <t>ACTUAL - lands within 1.4% of the return</t>
        </is>
      </c>
    </row>
    <row r="19">
      <c r="A19" s="41" t="inlineStr">
        <is>
          <t>2025 cash overhead</t>
        </is>
      </c>
      <c r="B19" s="42" t="n">
        <v>115436.8500000001</v>
      </c>
      <c r="C19" s="41" t="inlineStr">
        <is>
          <t>Check payees, ACH, card detail</t>
        </is>
      </c>
      <c r="D19" s="41" t="inlineStr">
        <is>
          <t>Cash</t>
        </is>
      </c>
      <c r="E19" s="41" t="inlineStr">
        <is>
          <t>ACTUAL - lands within 10.4% of the return</t>
        </is>
      </c>
    </row>
    <row r="20">
      <c r="A20" s="41" t="inlineStr">
        <is>
          <t>2025 owner checks cleared</t>
        </is>
      </c>
      <c r="B20" s="42" t="n">
        <v>238320</v>
      </c>
      <c r="C20" s="41" t="inlineStr">
        <is>
          <t>149 cashed check images</t>
        </is>
      </c>
      <c r="D20" s="41" t="inlineStr">
        <is>
          <t>Cash</t>
        </is>
      </c>
      <c r="E20" s="41" t="inlineStr">
        <is>
          <t>ACTUAL - exceeds the return's guaranteed payments by $58,320</t>
        </is>
      </c>
    </row>
    <row r="21">
      <c r="A21" s="41" t="inlineStr">
        <is>
          <t>2025 vehicle cash out</t>
        </is>
      </c>
      <c r="B21" s="42" t="n">
        <v>118400.27</v>
      </c>
      <c r="C21" s="41" t="inlineStr">
        <is>
          <t>Checks 2111, 2060, 2062 and loan payments</t>
        </is>
      </c>
      <c r="D21" s="41" t="inlineStr">
        <is>
          <t>Cash</t>
        </is>
      </c>
      <c r="E21" s="41" t="inlineStr">
        <is>
          <t>ACTUAL - within 1.3% of the Section 179 figure</t>
        </is>
      </c>
    </row>
    <row r="22">
      <c r="A22" s="41" t="inlineStr">
        <is>
          <t>2026 cash collected to 24 Aug</t>
        </is>
      </c>
      <c r="B22" s="42" t="n">
        <v>753325.2000000001</v>
      </c>
      <c r="C22" s="41" t="inlineStr">
        <is>
          <t>Deerwood 1214 plus post-statement pull</t>
        </is>
      </c>
      <c r="D22" s="41" t="inlineStr">
        <is>
          <t>Cash</t>
        </is>
      </c>
      <c r="E22" s="41" t="inlineStr">
        <is>
          <t>ACTUAL</t>
        </is>
      </c>
    </row>
    <row r="23">
      <c r="A23" s="41" t="inlineStr">
        <is>
          <t>2026 cash cost of goods sold to 24 Aug</t>
        </is>
      </c>
      <c r="B23" s="42" t="n">
        <v>428389.0000000001</v>
      </c>
      <c r="C23" s="41" t="inlineStr">
        <is>
          <t>Check payees, ACH, card detail</t>
        </is>
      </c>
      <c r="D23" s="41" t="inlineStr">
        <is>
          <t>Cash</t>
        </is>
      </c>
      <c r="E23" s="41" t="inlineStr">
        <is>
          <t>ACTUAL</t>
        </is>
      </c>
    </row>
    <row r="24">
      <c r="A24" s="41" t="inlineStr">
        <is>
          <t>2026 cash overhead to 24 Aug</t>
        </is>
      </c>
      <c r="B24" s="42" t="n">
        <v>92500.59000000003</v>
      </c>
      <c r="C24" s="41" t="inlineStr">
        <is>
          <t>Check payees, ACH, card detail</t>
        </is>
      </c>
      <c r="D24" s="41" t="inlineStr">
        <is>
          <t>Cash</t>
        </is>
      </c>
      <c r="E24" s="41" t="inlineStr">
        <is>
          <t>ACTUAL</t>
        </is>
      </c>
    </row>
    <row r="25">
      <c r="A25" s="41" t="inlineStr">
        <is>
          <t>2026 owner checks cleared to 24 Aug</t>
        </is>
      </c>
      <c r="B25" s="42" t="n">
        <v>140000</v>
      </c>
      <c r="C25" s="41" t="inlineStr">
        <is>
          <t>16 cashed check images</t>
        </is>
      </c>
      <c r="D25" s="41" t="inlineStr">
        <is>
          <t>Cash</t>
        </is>
      </c>
      <c r="E25" s="41" t="inlineStr">
        <is>
          <t>ACTUAL - $70,000 each, dead even</t>
        </is>
      </c>
    </row>
    <row r="26">
      <c r="A26" s="41" t="inlineStr">
        <is>
          <t>2026 net profit to 24 Aug</t>
        </is>
      </c>
      <c r="B26" s="42" t="n">
        <v>92435.60999999999</v>
      </c>
      <c r="C26" s="41" t="inlineStr">
        <is>
          <t>Derived from the four lines above</t>
        </is>
      </c>
      <c r="D26" s="41" t="inlineStr">
        <is>
          <t>Cash</t>
        </is>
      </c>
      <c r="E26" s="41" t="inlineStr">
        <is>
          <t>ACTUAL for the period; cash basis, not accrual</t>
        </is>
      </c>
    </row>
    <row r="27">
      <c r="A27" s="41" t="inlineStr">
        <is>
          <t>2026 owner benefit to 24 Aug</t>
        </is>
      </c>
      <c r="B27" s="42" t="n">
        <v>232435.61</v>
      </c>
      <c r="C27" s="41" t="inlineStr">
        <is>
          <t>Net profit plus owner checks</t>
        </is>
      </c>
      <c r="D27" s="41" t="inlineStr">
        <is>
          <t>Cash</t>
        </is>
      </c>
      <c r="E27" s="41" t="inlineStr">
        <is>
          <t>ACTUAL</t>
        </is>
      </c>
    </row>
    <row r="28">
      <c r="A28" s="41" t="inlineStr">
        <is>
          <t>2026 full-year revenue</t>
        </is>
      </c>
      <c r="B28" s="42" t="n"/>
      <c r="C28" s="41" t="inlineStr">
        <is>
          <t>Scaled from 2025 collection seasonality</t>
        </is>
      </c>
      <c r="D28" s="41" t="inlineStr">
        <is>
          <t>Projection</t>
        </is>
      </c>
      <c r="E28" s="43" t="inlineStr">
        <is>
          <t>PROJECTION - band $1,060,758 to $1,293,903</t>
        </is>
      </c>
    </row>
    <row r="29">
      <c r="A29" s="41" t="inlineStr">
        <is>
          <t>2026 accrual revenue</t>
        </is>
      </c>
      <c r="B29" s="42" t="n"/>
      <c r="C29" s="41" t="inlineStr">
        <is>
          <t>Would require a 2026 profit and loss statement</t>
        </is>
      </c>
      <c r="D29" s="41" t="inlineStr">
        <is>
          <t>-</t>
        </is>
      </c>
      <c r="E29" s="43" t="inlineStr">
        <is>
          <t>NOT DETERMINABLE from available data</t>
        </is>
      </c>
    </row>
    <row r="30">
      <c r="A30" s="41" t="inlineStr">
        <is>
          <t>2026 accounts receivable</t>
        </is>
      </c>
      <c r="B30" s="42" t="n"/>
      <c r="C30" s="41" t="inlineStr">
        <is>
          <t>Would require an AR aging</t>
        </is>
      </c>
      <c r="D30" s="41" t="inlineStr">
        <is>
          <t>-</t>
        </is>
      </c>
      <c r="E30" s="43" t="inlineStr">
        <is>
          <t>NOT DETERMINABLE from available data</t>
        </is>
      </c>
    </row>
    <row r="31">
      <c r="A31" s="41" t="inlineStr">
        <is>
          <t>2026 work in progress</t>
        </is>
      </c>
      <c r="B31" s="42" t="n"/>
      <c r="C31" s="41" t="inlineStr">
        <is>
          <t>Would require job costing from the CRM</t>
        </is>
      </c>
      <c r="D31" s="41" t="inlineStr">
        <is>
          <t>-</t>
        </is>
      </c>
      <c r="E31" s="43" t="inlineStr">
        <is>
          <t>NOT DETERMINABLE from available data</t>
        </is>
      </c>
    </row>
    <row r="32">
      <c r="A32" s="41" t="inlineStr">
        <is>
          <t>2026 guaranteed payments versus draws</t>
        </is>
      </c>
      <c r="B32" s="42" t="n"/>
      <c r="C32" s="41" t="inlineStr">
        <is>
          <t>Would require the 2026 general ledger</t>
        </is>
      </c>
      <c r="D32" s="41" t="inlineStr">
        <is>
          <t>-</t>
        </is>
      </c>
      <c r="E32" s="43" t="inlineStr">
        <is>
          <t>NOT DETERMINABLE - the bank shows the cash, not the tax character</t>
        </is>
      </c>
    </row>
    <row r="34">
      <c r="A34" s="6" t="inlineStr">
        <is>
          <t>WHAT WOULD CLOSE EACH GAP</t>
        </is>
      </c>
      <c r="B34" s="6" t="n"/>
      <c r="C34" s="6" t="n"/>
      <c r="D34" s="6" t="n"/>
      <c r="E34" s="6" t="n"/>
    </row>
    <row r="35" ht="32" customHeight="1">
      <c r="A35" s="44" t="inlineStr">
        <is>
          <t>The $210,612 the 2025 balance sheet does not balance by</t>
        </is>
      </c>
      <c r="B35" s="40" t="n"/>
      <c r="C35" s="24" t="inlineStr">
        <is>
          <t>The 2025 general ledger, or a trial balance, from the bookkeeper.</t>
        </is>
      </c>
      <c r="D35" s="40" t="n"/>
      <c r="E35" s="40" t="n"/>
    </row>
    <row r="36" ht="32" customHeight="1">
      <c r="A36" s="44" t="inlineStr">
        <is>
          <t>The $58,320 of owner checks above the reported guaranteed payments</t>
        </is>
      </c>
      <c r="B36" s="40" t="n"/>
      <c r="C36" s="24" t="inlineStr">
        <is>
          <t>The 2025 general ledger - it will show whether these were expense reimbursements, distributions, or guaranteed payments the return understated.</t>
        </is>
      </c>
      <c r="D36" s="40" t="n"/>
      <c r="E36" s="40" t="n"/>
    </row>
    <row r="37" ht="32" customHeight="1">
      <c r="A37" s="44" t="inlineStr">
        <is>
          <t>The unexplained $407,007 deposit of 25 March 2025</t>
        </is>
      </c>
      <c r="B37" s="40" t="n"/>
      <c r="C37" s="24" t="inlineStr">
        <is>
          <t>The deposit slip or the matching customer invoices. Until then 2025 cash collected cannot be treated as one year's revenue.</t>
        </is>
      </c>
      <c r="D37" s="40" t="n"/>
      <c r="E37" s="40" t="n"/>
    </row>
    <row r="38" ht="32" customHeight="1">
      <c r="A38" s="44" t="inlineStr">
        <is>
          <t>The $142,613 deposit of 14 August 2026</t>
        </is>
      </c>
      <c r="B38" s="40" t="n"/>
      <c r="C38" s="24" t="inlineStr">
        <is>
          <t>The deposit slip. It is 18.9% of 2026 year to date and it moves every 2026 figure on this workbook.</t>
        </is>
      </c>
      <c r="D38" s="40" t="n"/>
      <c r="E38" s="40" t="n"/>
    </row>
    <row r="39" ht="32" customHeight="1">
      <c r="A39" s="44" t="inlineStr">
        <is>
          <t>2026 revenue on an accrual basis, and 2026 net profit as a return would state it</t>
        </is>
      </c>
      <c r="B39" s="40" t="n"/>
      <c r="C39" s="24" t="inlineStr">
        <is>
          <t>A 2026 profit and loss statement, or QBO access.</t>
        </is>
      </c>
      <c r="D39" s="40" t="n"/>
      <c r="E39" s="40" t="n"/>
    </row>
    <row r="40" ht="32" customHeight="1">
      <c r="A40" s="44" t="inlineStr">
        <is>
          <t>The $32,396 of 2025 and $9,291 of 2026 cash out that could not be identified</t>
        </is>
      </c>
      <c r="B40" s="40" t="n"/>
      <c r="C40" s="24" t="inlineStr">
        <is>
          <t>Mostly small cash withdrawals with no payee. The check stubs or the ledger would settle it.</t>
        </is>
      </c>
      <c r="D40" s="40" t="n"/>
      <c r="E40" s="40" t="n"/>
    </row>
    <row r="41" ht="32" customHeight="1">
      <c r="A41" s="44" t="inlineStr">
        <is>
          <t>Rent: the return deducts zero, the bank paid $22,500 in 2025 and $26,000 in 2026</t>
        </is>
      </c>
      <c r="B41" s="40" t="n"/>
      <c r="C41" s="24" t="inlineStr">
        <is>
          <t>The general ledger. Office Expense of $55,191 is the likely home; $55,191 less $22,500 leaves $32,691, which is 2.75% of revenue and unremarkable.</t>
        </is>
      </c>
      <c r="D41" s="40" t="n"/>
      <c r="E41" s="40" t="n"/>
    </row>
    <row r="43">
      <c r="A43" s="6" t="inlineStr">
        <is>
          <t>METHOD - HOW THE 2026 COLUMN WAS BUILT</t>
        </is>
      </c>
      <c r="B43" s="6" t="n"/>
      <c r="C43" s="6" t="n"/>
      <c r="D43" s="6" t="n"/>
      <c r="E43" s="6" t="n"/>
    </row>
    <row r="44" ht="32" customHeight="1">
      <c r="A44" s="17" t="inlineStr">
        <is>
          <t xml:space="preserve">     1.  Every deposit, ACH, debit-card item and check on the Deerwood 1214 account was taken from the monthly statements through 31 July 2026, then extended to 24 August 2026 with the post-statement pull. The two sources overlap and the overlap was removed.</t>
        </is>
      </c>
    </row>
    <row r="45" ht="32" customHeight="1">
      <c r="A45" s="17" t="inlineStr">
        <is>
          <t xml:space="preserve">     2.  Every check was matched to its cashed image to recover the payee. Check 2161 was misread as 2181 by the statement text layer; the image settles it and the correction is applied.</t>
        </is>
      </c>
    </row>
    <row r="46" ht="32" customHeight="1">
      <c r="A46" s="17" t="inlineStr">
        <is>
          <t xml:space="preserve">     3.  Capital One card spend was taken at vendor level, both cards treated as one account. The consolidated card PAYMENTS out of the bank were removed so the card detail is counted once and once only.</t>
        </is>
      </c>
    </row>
    <row r="47" ht="32" customHeight="1">
      <c r="A47" s="17" t="inlineStr">
        <is>
          <t xml:space="preserve">     4.  Payees and merchants were mapped to cost of goods sold, overhead, owner pay, capital or non-operating. Anything that could not be mapped is reported as not identifiable rather than forced into a bucket.</t>
        </is>
      </c>
    </row>
    <row r="48" ht="32" customHeight="1">
      <c r="A48" s="17" t="inlineStr">
        <is>
          <t xml:space="preserve">     5.  The identical classification was run over the whole of 2025 and compared to the filed return. That comparison is the control, and it is printed on tab 1.</t>
        </is>
      </c>
    </row>
    <row r="49" ht="32" customHeight="1">
      <c r="A49" s="17" t="inlineStr">
        <is>
          <t xml:space="preserve">     6.  Nothing on this workbook was estimated to make a column look complete. Where a figure cannot be determined it says so.</t>
        </is>
      </c>
    </row>
    <row r="51" ht="44" customHeight="1">
      <c r="A51" s="18" t="inlineStr">
        <is>
          <t>TERMINOLOGY. Owner benefit is what the business produced for the owners in a year - an income-statement flow. Owner equity is partners' capital on the balance sheet, $37,667 at the end of 2025. They are different numbers and the words are not interchangeable in front of a lender, a buyer or the tax preparer.</t>
        </is>
      </c>
    </row>
    <row r="52" ht="30" customHeight="1">
      <c r="A52" s="17" t="inlineStr">
        <is>
          <t xml:space="preserve">     No taxpayer identification numbers, dates of birth, account numbers or other personal or account identifiers appear anywhere in this workbook.</t>
        </is>
      </c>
    </row>
  </sheetData>
  <mergeCells count="15">
    <mergeCell ref="C36:E36"/>
    <mergeCell ref="A48:E48"/>
    <mergeCell ref="C41:E41"/>
    <mergeCell ref="C37:E37"/>
    <mergeCell ref="A52:E52"/>
    <mergeCell ref="C39:E39"/>
    <mergeCell ref="C40:E40"/>
    <mergeCell ref="A49:E49"/>
    <mergeCell ref="A51:E51"/>
    <mergeCell ref="A47:E47"/>
    <mergeCell ref="A45:E45"/>
    <mergeCell ref="A46:E46"/>
    <mergeCell ref="C35:E35"/>
    <mergeCell ref="A44:E44"/>
    <mergeCell ref="C38:E3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2026-09-09T15:16:16Z</dcterms:created>
  <dcterms:modified xmlns:dcterms="http://purl.org/dc/terms/" xmlns:xsi="http://www.w3.org/2001/XMLSchema-instance" xsi:type="dcterms:W3CDTF">2026-09-09T15:16:16Z</dcterms:modified>
</cp:coreProperties>
</file>