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oal Model" sheetId="2" state="visible" r:id="rId2"/>
    <sheet xmlns:r="http://schemas.openxmlformats.org/officeDocument/2006/relationships" name="Channel Plan" sheetId="3" state="visible" r:id="rId3"/>
    <sheet xmlns:r="http://schemas.openxmlformats.org/officeDocument/2006/relationships" name="Current Spend" sheetId="4" state="visible" r:id="rId4"/>
    <sheet xmlns:r="http://schemas.openxmlformats.org/officeDocument/2006/relationships" name="Co-op &amp; Rebates" sheetId="5" state="visible" r:id="rId5"/>
    <sheet xmlns:r="http://schemas.openxmlformats.org/officeDocument/2006/relationships" name="Assumptions &amp;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0.0&quot; : 1&quot;"/>
    <numFmt numFmtId="167" formatCode="#,##0.0"/>
    <numFmt numFmtId="168" formatCode="&quot;$&quot;#,##0.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141414"/>
      <sz val="10.5"/>
    </font>
    <font>
      <name val="Calibri"/>
      <b val="1"/>
      <color rgb="00141414"/>
      <sz val="10.5"/>
    </font>
    <font>
      <name val="Calibri"/>
      <i val="1"/>
      <color rgb="005B6472"/>
      <sz val="9"/>
    </font>
    <font>
      <name val="Calibri"/>
      <b val="1"/>
      <color rgb="001A3C6E"/>
      <sz val="11"/>
    </font>
    <font>
      <name val="Calibri"/>
      <b val="1"/>
      <color rgb="00FFFFFF"/>
      <sz val="9.5"/>
    </font>
    <font>
      <name val="Calibri"/>
      <b val="1"/>
      <color rgb="001A3C6E"/>
      <sz val="12"/>
    </font>
    <font>
      <name val="Calibri"/>
      <b val="1"/>
      <color rgb="001A3C6E"/>
      <sz val="20"/>
    </font>
  </fonts>
  <fills count="6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FCD00"/>
      </patternFill>
    </fill>
    <fill>
      <patternFill patternType="solid">
        <fgColor rgb="00FFF6D0"/>
      </patternFill>
    </fill>
    <fill>
      <patternFill patternType="solid">
        <fgColor rgb="00E9EEF6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wrapText="1" indent="1"/>
    </xf>
    <xf numFmtId="0" fontId="8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indent="1"/>
    </xf>
    <xf numFmtId="164" fontId="4" fillId="0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10" fontId="7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left" indent="1"/>
    </xf>
    <xf numFmtId="164" fontId="4" fillId="5" borderId="1" applyAlignment="1" pivotButton="0" quotePrefix="0" xfId="0">
      <alignment horizontal="right"/>
    </xf>
    <xf numFmtId="167" fontId="4" fillId="5" borderId="1" applyAlignment="1" pivotButton="0" quotePrefix="0" xfId="0">
      <alignment horizontal="right"/>
    </xf>
    <xf numFmtId="3" fontId="4" fillId="5" borderId="1" applyAlignment="1" pivotButton="0" quotePrefix="0" xfId="0">
      <alignment horizontal="right"/>
    </xf>
    <xf numFmtId="164" fontId="7" fillId="5" borderId="1" applyAlignment="1" pivotButton="0" quotePrefix="0" xfId="0">
      <alignment horizontal="right"/>
    </xf>
    <xf numFmtId="10" fontId="7" fillId="5" borderId="1" applyAlignment="1" pivotButton="0" quotePrefix="0" xfId="0">
      <alignment horizontal="right"/>
    </xf>
    <xf numFmtId="0" fontId="6" fillId="0" borderId="0" applyAlignment="1" pivotButton="0" quotePrefix="0" xfId="0">
      <alignment horizontal="left" wrapText="1" indent="1"/>
    </xf>
    <xf numFmtId="0" fontId="4" fillId="0" borderId="0" applyAlignment="1" pivotButton="0" quotePrefix="0" xfId="0">
      <alignment horizontal="left" indent="1"/>
    </xf>
    <xf numFmtId="10" fontId="10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indent="1"/>
    </xf>
    <xf numFmtId="164" fontId="7" fillId="0" borderId="0" applyAlignment="1" pivotButton="0" quotePrefix="0" xfId="0">
      <alignment horizontal="left"/>
    </xf>
    <xf numFmtId="16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166" fontId="5" fillId="4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0" fontId="7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7" fontId="7" fillId="0" borderId="0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164" fontId="5" fillId="5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3" fontId="5" fillId="4" borderId="1" applyAlignment="1" pivotButton="0" quotePrefix="0" xfId="0">
      <alignment horizontal="right"/>
    </xf>
    <xf numFmtId="3" fontId="7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4" fillId="0" borderId="1" applyAlignment="1" pivotButton="0" quotePrefix="0" xfId="0">
      <alignment horizontal="left" indent="1"/>
    </xf>
    <xf numFmtId="168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 indent="1"/>
    </xf>
    <xf numFmtId="168" fontId="5" fillId="3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3" fontId="5" fillId="3" borderId="1" applyAlignment="1" pivotButton="0" quotePrefix="0" xfId="0">
      <alignment horizontal="right"/>
    </xf>
    <xf numFmtId="168" fontId="5" fillId="4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167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7" fontId="4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8" fontId="4" fillId="0" borderId="0" applyAlignment="1" pivotButton="0" quotePrefix="0" xfId="0">
      <alignment horizontal="right"/>
    </xf>
    <xf numFmtId="3" fontId="4" fillId="0" borderId="0" applyAlignment="1" pivotButton="0" quotePrefix="0" xfId="0">
      <alignment horizontal="right"/>
    </xf>
    <xf numFmtId="10" fontId="4" fillId="0" borderId="0" applyAlignment="1" pivotButton="0" quotePrefix="0" xfId="0">
      <alignment horizontal="right"/>
    </xf>
    <xf numFmtId="0" fontId="8" fillId="2" borderId="1" applyAlignment="1" pivotButton="0" quotePrefix="0" xfId="0">
      <alignment horizontal="left" indent="1"/>
    </xf>
    <xf numFmtId="168" fontId="0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 indent="1"/>
    </xf>
    <xf numFmtId="0" fontId="0" fillId="3" borderId="1" pivotButton="0" quotePrefix="0" xfId="0"/>
    <xf numFmtId="168" fontId="0" fillId="0" borderId="0" applyAlignment="1" pivotButton="0" quotePrefix="0" xfId="0">
      <alignment horizontal="right"/>
    </xf>
    <xf numFmtId="168" fontId="7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7" fillId="3" borderId="1" applyAlignment="1" pivotButton="0" quotePrefix="0" xfId="0">
      <alignment horizontal="right"/>
    </xf>
    <xf numFmtId="0" fontId="5" fillId="5" borderId="0" applyAlignment="1" pivotButton="0" quotePrefix="0" xfId="0">
      <alignment horizontal="left" wrapText="1" indent="1"/>
    </xf>
    <xf numFmtId="0" fontId="4" fillId="0" borderId="1" applyAlignment="1" pivotButton="0" quotePrefix="0" xfId="0">
      <alignment horizontal="left" wrapText="1" indent="1"/>
    </xf>
    <xf numFmtId="0" fontId="6" fillId="0" borderId="1" applyAlignment="1" pivotButton="0" quotePrefix="0" xfId="0">
      <alignment horizontal="left" wrapText="1" indent="1"/>
    </xf>
    <xf numFmtId="0" fontId="4" fillId="0" borderId="0" applyAlignment="1" pivotButton="0" quotePrefix="0" xfId="0">
      <alignment horizontal="left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2" customWidth="1" min="3" max="3"/>
    <col width="12" customWidth="1" min="4" max="4"/>
    <col width="17" customWidth="1" min="5" max="5"/>
    <col width="14" customWidth="1" min="6" max="6"/>
  </cols>
  <sheetData>
    <row r="1" ht="30" customHeight="1">
      <c r="A1" s="1" t="inlineStr">
        <is>
          <t>Marketing Budget  -  Summary &amp; Recommendation</t>
        </is>
      </c>
    </row>
    <row r="2" ht="16" customHeight="1">
      <c r="A2" s="2" t="inlineStr">
        <is>
          <t>Top Tier Roofing &amp; Remodeling  -  Albertville, Minnesota  -  prepared 2026-09-03</t>
        </is>
      </c>
    </row>
    <row r="3" ht="4" customHeight="1">
      <c r="A3" s="3" t="n"/>
      <c r="B3" s="3" t="n"/>
      <c r="C3" s="3" t="n"/>
      <c r="D3" s="3" t="n"/>
      <c r="E3" s="3" t="n"/>
      <c r="F3" s="3" t="n"/>
    </row>
    <row r="4" ht="20" customHeight="1">
      <c r="A4" s="4" t="inlineStr">
        <is>
          <t>The real question</t>
        </is>
      </c>
    </row>
    <row r="5" ht="92" customHeight="1">
      <c r="A5" s="5" t="inlineStr">
        <is>
          <t>Nearly every job this company has done came from referral - a channel that costs about zero. The revenue base was built without buying customers. That is why a percent-of-revenue benchmark is a weak frame here: the 3-10% band describes companies that ACQUIRE through marketing, and this one never has to. So the question is not "what percent should we spend?"  It is:  what does it cost to build a second channel that does not depend on referrals?  The three tiers below answer that at three levels of ambition.</t>
        </is>
      </c>
    </row>
    <row r="7" ht="20" customHeight="1">
      <c r="A7" s="4" t="inlineStr">
        <is>
          <t>Three tiers  -  pick the ambition, the budget follows</t>
        </is>
      </c>
    </row>
    <row r="8" ht="30" customHeight="1">
      <c r="A8" s="6" t="inlineStr">
        <is>
          <t>Tier</t>
        </is>
      </c>
      <c r="B8" s="6" t="inlineStr">
        <is>
          <t>New-work goal</t>
        </is>
      </c>
      <c r="C8" s="6" t="inlineStr">
        <is>
          <t>Jobs</t>
        </is>
      </c>
      <c r="D8" s="6" t="inlineStr">
        <is>
          <t>Leads</t>
        </is>
      </c>
      <c r="E8" s="6" t="inlineStr">
        <is>
          <t>Total budget</t>
        </is>
      </c>
      <c r="F8" s="6" t="inlineStr">
        <is>
          <t>% of revenue</t>
        </is>
      </c>
    </row>
    <row r="9">
      <c r="A9" s="7">
        <f>'Goal Model'!A25</f>
        <v/>
      </c>
      <c r="B9" s="8">
        <f>'Goal Model'!B25</f>
        <v/>
      </c>
      <c r="C9" s="9">
        <f>'Goal Model'!C25</f>
        <v/>
      </c>
      <c r="D9" s="10">
        <f>'Goal Model'!D25</f>
        <v/>
      </c>
      <c r="E9" s="11">
        <f>'Goal Model'!G25</f>
        <v/>
      </c>
      <c r="F9" s="12">
        <f>'Goal Model'!H25</f>
        <v/>
      </c>
    </row>
    <row r="10">
      <c r="A10" s="13">
        <f>'Goal Model'!A26</f>
        <v/>
      </c>
      <c r="B10" s="14">
        <f>'Goal Model'!B26</f>
        <v/>
      </c>
      <c r="C10" s="15">
        <f>'Goal Model'!C26</f>
        <v/>
      </c>
      <c r="D10" s="16">
        <f>'Goal Model'!D26</f>
        <v/>
      </c>
      <c r="E10" s="17">
        <f>'Goal Model'!G26</f>
        <v/>
      </c>
      <c r="F10" s="18">
        <f>'Goal Model'!H26</f>
        <v/>
      </c>
    </row>
    <row r="11">
      <c r="A11" s="7">
        <f>'Goal Model'!A27</f>
        <v/>
      </c>
      <c r="B11" s="8">
        <f>'Goal Model'!B27</f>
        <v/>
      </c>
      <c r="C11" s="9">
        <f>'Goal Model'!C27</f>
        <v/>
      </c>
      <c r="D11" s="10">
        <f>'Goal Model'!D27</f>
        <v/>
      </c>
      <c r="E11" s="11">
        <f>'Goal Model'!G27</f>
        <v/>
      </c>
      <c r="F11" s="12">
        <f>'Goal Model'!H27</f>
        <v/>
      </c>
    </row>
    <row r="12" ht="42" customHeight="1">
      <c r="A12" s="19" t="inlineStr">
        <is>
          <t>Tier 2 is shaded as the recommended starting point: it is the first tier that builds a real second channel rather than just covering the current commitment, and it lands inside the range this trade recognizes. Every tier passes the affordable-cost-to-acquire test and sits inside the local market.</t>
        </is>
      </c>
    </row>
    <row r="14" ht="20" customHeight="1">
      <c r="A14" s="4" t="inlineStr">
        <is>
          <t>Where you are now</t>
        </is>
      </c>
    </row>
    <row r="15">
      <c r="A15" s="20" t="inlineStr">
        <is>
          <t>Marketing today (filed return)</t>
        </is>
      </c>
      <c r="B15" s="21">
        <f>'Current Spend'!B22</f>
        <v/>
      </c>
      <c r="C15" s="22">
        <f>'Current Spend'!B20</f>
        <v/>
      </c>
    </row>
    <row r="16">
      <c r="A16" s="20" t="inlineStr">
        <is>
          <t>Fixed / always-on already running</t>
        </is>
      </c>
      <c r="C16" s="23">
        <f>'Goal Model'!B11</f>
        <v/>
      </c>
    </row>
    <row r="17">
      <c r="A17" s="24" t="inlineStr">
        <is>
          <t>Selected tier budget</t>
        </is>
      </c>
      <c r="C17" s="25">
        <f>'Goal Model'!B39</f>
        <v/>
      </c>
    </row>
    <row r="18">
      <c r="A18" s="20" t="inlineStr">
        <is>
          <t>Net of co-op / rebates</t>
        </is>
      </c>
      <c r="C18" s="23">
        <f>'Goal Model'!B40</f>
        <v/>
      </c>
    </row>
    <row r="20" ht="20" customHeight="1">
      <c r="A20" s="4" t="inlineStr">
        <is>
          <t>Guardrails on every tier</t>
        </is>
      </c>
    </row>
    <row r="21" ht="90" customHeight="1">
      <c r="A21" s="19" t="inlineStr">
        <is>
          <t>AFFORDABLE COST TO ACQUIRE: gross profit per job (~$1,790, straight off your return) is the ceiling on what a job may cost to win. Every tier is tested against it and every channel carries its own flag. LOCAL MARKET: each tier's lead requirement is checked against the ~35,000 roof-target universe, and the mail plan against the 1,433 addressed homes actually on the list. MEASURE TO REPLACE: the cost-per-lead prices are 90-day seeds; your Contractors Cloud lead-source field turns them into measured cost per job. PERCENT OF REVENUE IS AN OUTPUT here, reported after the fact - it is never used to set the number.</t>
        </is>
      </c>
    </row>
    <row r="23" ht="28" customHeight="1">
      <c r="A23" s="19" t="inlineStr">
        <is>
          <t>Working figures. Edit the highlighted cells on the Goal Model, Channel Plan and Co-op tabs; everything here recalculates. Sources are on the Assumptions &amp; Sources tab.</t>
        </is>
      </c>
    </row>
  </sheetData>
  <mergeCells count="10">
    <mergeCell ref="A2:F2"/>
    <mergeCell ref="A14:F14"/>
    <mergeCell ref="A1:F1"/>
    <mergeCell ref="A5:F5"/>
    <mergeCell ref="A23:F23"/>
    <mergeCell ref="A12:F12"/>
    <mergeCell ref="A4:F4"/>
    <mergeCell ref="A20:F20"/>
    <mergeCell ref="A21:F21"/>
    <mergeCell ref="A7:F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11" customWidth="1" min="3" max="3"/>
    <col width="11" customWidth="1" min="4" max="4"/>
    <col width="15" customWidth="1" min="5" max="5"/>
    <col width="14" customWidth="1" min="6" max="6"/>
    <col width="15" customWidth="1" min="7" max="7"/>
    <col width="12" customWidth="1" min="8" max="8"/>
    <col width="13" customWidth="1" min="9" max="9"/>
    <col width="17" customWidth="1" min="10" max="10"/>
    <col width="20" customWidth="1" min="11" max="11"/>
  </cols>
  <sheetData>
    <row r="1" ht="30" customHeight="1">
      <c r="A1" s="1" t="inlineStr">
        <is>
          <t>Goal-Driven Model and the Three Tiers</t>
        </is>
      </c>
    </row>
    <row r="2" ht="16" customHeight="1">
      <c r="A2" s="2" t="inlineStr">
        <is>
          <t>Pick an ambition. The spend is derived from your own economics; the % of revenue is only reported.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20" customHeight="1">
      <c r="A4" s="4" t="inlineStr">
        <is>
          <t>INPUTS  -  edit the highlighted cells</t>
        </is>
      </c>
    </row>
    <row r="5">
      <c r="A5" s="20" t="inlineStr">
        <is>
          <t>Annual revenue (2025 filed return)</t>
        </is>
      </c>
      <c r="B5" s="26" t="n">
        <v>1189873</v>
      </c>
    </row>
    <row r="6">
      <c r="A6" s="20" t="inlineStr">
        <is>
          <t>Gross profit (2025 filed return)</t>
        </is>
      </c>
      <c r="B6" s="26" t="n">
        <v>425875</v>
      </c>
    </row>
    <row r="7">
      <c r="A7" s="20" t="inlineStr">
        <is>
          <t>Average job value</t>
        </is>
      </c>
      <c r="B7" s="26" t="n">
        <v>5000</v>
      </c>
    </row>
    <row r="8">
      <c r="A8" s="20" t="inlineStr">
        <is>
          <t>Close rate (share of leads that become jobs)</t>
        </is>
      </c>
      <c r="B8" s="27" t="n">
        <v>0.25</v>
      </c>
    </row>
    <row r="9">
      <c r="A9" s="20" t="inlineStr">
        <is>
          <t>Target return (gross profit earned per $1 spent)</t>
        </is>
      </c>
      <c r="B9" s="28" t="n">
        <v>3</v>
      </c>
    </row>
    <row r="10">
      <c r="A10" s="20" t="inlineStr">
        <is>
          <t>Co-op / rebate offset (annual)</t>
        </is>
      </c>
      <c r="B10" s="29">
        <f>'Co-op &amp; Rebates'!B7</f>
        <v/>
      </c>
    </row>
    <row r="11">
      <c r="A11" s="20" t="inlineStr">
        <is>
          <t>Fixed / always-on marketing (annual)</t>
        </is>
      </c>
      <c r="B11" s="29">
        <f>'Channel Plan'!B12</f>
        <v/>
      </c>
    </row>
    <row r="12" ht="28" customHeight="1">
      <c r="A12" s="19" t="inlineStr">
        <is>
          <t>Revenue and gross profit come straight off the 2025 return. Fixed / always-on cost is built on the Channel Plan from marketing vendors already on your card. Percent of revenue appears nowhere as an input.</t>
        </is>
      </c>
    </row>
    <row r="14" ht="20" customHeight="1">
      <c r="A14" s="4" t="inlineStr">
        <is>
          <t>AFFORDABLE COST TO ACQUIRE  -  the ceiling comes from your margin</t>
        </is>
      </c>
    </row>
    <row r="15">
      <c r="A15" s="20" t="inlineStr">
        <is>
          <t>Gross margin  (= gross profit / revenue)</t>
        </is>
      </c>
      <c r="B15" s="30">
        <f>B6/B5</f>
        <v/>
      </c>
    </row>
    <row r="16">
      <c r="A16" s="20" t="inlineStr">
        <is>
          <t>Gross profit per job  (= job value x margin)</t>
        </is>
      </c>
      <c r="B16" s="31">
        <f>B7*B15</f>
        <v/>
      </c>
    </row>
    <row r="17">
      <c r="A17" s="20" t="inlineStr">
        <is>
          <t>Leads per job  (= 1 / close rate)</t>
        </is>
      </c>
      <c r="B17" s="32">
        <f>1/B8</f>
        <v/>
      </c>
    </row>
    <row r="18">
      <c r="A18" s="20" t="inlineStr">
        <is>
          <t>Breakeven cost per lead  (absolute ceiling)</t>
        </is>
      </c>
      <c r="B18" s="31">
        <f>B16/B17</f>
        <v/>
      </c>
    </row>
    <row r="19">
      <c r="A19" s="20" t="inlineStr">
        <is>
          <t>Target max cost per job  (= gross profit / target return)</t>
        </is>
      </c>
      <c r="B19" s="31">
        <f>B16/B9</f>
        <v/>
      </c>
    </row>
    <row r="20">
      <c r="A20" s="20" t="inlineStr">
        <is>
          <t>Target max cost per lead</t>
        </is>
      </c>
      <c r="B20" s="31">
        <f>B19/B17</f>
        <v/>
      </c>
    </row>
    <row r="21" ht="28" customHeight="1">
      <c r="A21" s="19" t="inlineStr">
        <is>
          <t>Gross profit per job is the most you could ever pay to win a job and still break even. Every tier and every channel below is tested against it.</t>
        </is>
      </c>
    </row>
    <row r="23" ht="20" customHeight="1">
      <c r="A23" s="4" t="inlineStr">
        <is>
          <t>THE THREE TIERS  -  ambition drives the spend; the % of revenue is the result</t>
        </is>
      </c>
    </row>
    <row r="24" ht="42" customHeight="1">
      <c r="A24" s="6" t="inlineStr">
        <is>
          <t>Tier</t>
        </is>
      </c>
      <c r="B24" s="6" t="inlineStr">
        <is>
          <t>New-work goal</t>
        </is>
      </c>
      <c r="C24" s="6" t="inlineStr">
        <is>
          <t>Jobs</t>
        </is>
      </c>
      <c r="D24" s="6" t="inlineStr">
        <is>
          <t>Leads</t>
        </is>
      </c>
      <c r="E24" s="6" t="inlineStr">
        <is>
          <t>Variable spend</t>
        </is>
      </c>
      <c r="F24" s="6" t="inlineStr">
        <is>
          <t>Fixed / always-on</t>
        </is>
      </c>
      <c r="G24" s="6" t="inlineStr">
        <is>
          <t>TOTAL BUDGET</t>
        </is>
      </c>
      <c r="H24" s="6" t="inlineStr">
        <is>
          <t>% of revenue</t>
        </is>
      </c>
      <c r="I24" s="6" t="inlineStr">
        <is>
          <t>Cost per job</t>
        </is>
      </c>
      <c r="J24" s="6" t="inlineStr">
        <is>
          <t>Vs affordable CAC</t>
        </is>
      </c>
      <c r="K24" s="6" t="inlineStr">
        <is>
          <t>Vs local market</t>
        </is>
      </c>
    </row>
    <row r="25">
      <c r="A25" s="7" t="inlineStr">
        <is>
          <t>1  -  Hit the commitment</t>
        </is>
      </c>
      <c r="B25" s="26" t="n">
        <v>150000</v>
      </c>
      <c r="C25" s="9">
        <f>B25/$B$7</f>
        <v/>
      </c>
      <c r="D25" s="10">
        <f>C25*$B$17</f>
        <v/>
      </c>
      <c r="E25" s="8">
        <f>D25*$B$20</f>
        <v/>
      </c>
      <c r="F25" s="8">
        <f>$B$11</f>
        <v/>
      </c>
      <c r="G25" s="11">
        <f>E25+F25</f>
        <v/>
      </c>
      <c r="H25" s="12">
        <f>G25/$B$5</f>
        <v/>
      </c>
      <c r="I25" s="8">
        <f>G25/C25</f>
        <v/>
      </c>
      <c r="J25" s="33">
        <f>IF(I25&lt;=$B$16,"PASS","FAIL - above breakeven")</f>
        <v/>
      </c>
      <c r="K25" s="33">
        <f>IF(D25&lt;=$B$33,"PASS","FAIL - exceeds local universe")</f>
        <v/>
      </c>
    </row>
    <row r="26">
      <c r="A26" s="13" t="inlineStr">
        <is>
          <t>2  -  Real growth</t>
        </is>
      </c>
      <c r="B26" s="34" t="n">
        <v>400000</v>
      </c>
      <c r="C26" s="15">
        <f>B26/$B$7</f>
        <v/>
      </c>
      <c r="D26" s="16">
        <f>C26*$B$17</f>
        <v/>
      </c>
      <c r="E26" s="14">
        <f>D26*$B$20</f>
        <v/>
      </c>
      <c r="F26" s="14">
        <f>$B$11</f>
        <v/>
      </c>
      <c r="G26" s="17">
        <f>E26+F26</f>
        <v/>
      </c>
      <c r="H26" s="18">
        <f>G26/$B$5</f>
        <v/>
      </c>
      <c r="I26" s="14">
        <f>G26/C26</f>
        <v/>
      </c>
      <c r="J26" s="35">
        <f>IF(I26&lt;=$B$16,"PASS","FAIL - above breakeven")</f>
        <v/>
      </c>
      <c r="K26" s="35">
        <f>IF(D26&lt;=$B$33,"PASS","FAIL - exceeds local universe")</f>
        <v/>
      </c>
    </row>
    <row r="27">
      <c r="A27" s="7" t="inlineStr">
        <is>
          <t>3  -  Aggressive</t>
        </is>
      </c>
      <c r="B27" s="26" t="n">
        <v>750000</v>
      </c>
      <c r="C27" s="9">
        <f>B27/$B$7</f>
        <v/>
      </c>
      <c r="D27" s="10">
        <f>C27*$B$17</f>
        <v/>
      </c>
      <c r="E27" s="8">
        <f>D27*$B$20</f>
        <v/>
      </c>
      <c r="F27" s="8">
        <f>$B$11</f>
        <v/>
      </c>
      <c r="G27" s="11">
        <f>E27+F27</f>
        <v/>
      </c>
      <c r="H27" s="12">
        <f>G27/$B$5</f>
        <v/>
      </c>
      <c r="I27" s="8">
        <f>G27/C27</f>
        <v/>
      </c>
      <c r="J27" s="33">
        <f>IF(I27&lt;=$B$16,"PASS","FAIL - above breakeven")</f>
        <v/>
      </c>
      <c r="K27" s="33">
        <f>IF(D27&lt;=$B$33,"PASS","FAIL - exceeds local universe")</f>
        <v/>
      </c>
    </row>
    <row r="28" ht="28" customHeight="1">
      <c r="A28" s="19" t="inlineStr">
        <is>
          <t>Edit the New-work goal on any tier and everything to its right recalculates. Variable spend is the leads that goal needs, priced at your target cost per lead; fixed / always-on is added on top. Nothing here is set by choosing a percentage.</t>
        </is>
      </c>
    </row>
    <row r="30" ht="20" customHeight="1">
      <c r="A30" s="4" t="inlineStr">
        <is>
          <t>LOCAL MARKET CEILING</t>
        </is>
      </c>
    </row>
    <row r="31">
      <c r="A31" s="20" t="inlineStr">
        <is>
          <t>Roof-target universe (counties already pulled)</t>
        </is>
      </c>
      <c r="B31" s="36" t="n">
        <v>35000</v>
      </c>
    </row>
    <row r="32">
      <c r="A32" s="20" t="inlineStr">
        <is>
          <t>Max plausible annual penetration</t>
        </is>
      </c>
      <c r="B32" s="27" t="n">
        <v>0.05</v>
      </c>
    </row>
    <row r="33">
      <c r="A33" s="24" t="inlineStr">
        <is>
          <t>Max plausible annual leads  (universe x penetration)</t>
        </is>
      </c>
      <c r="B33" s="37">
        <f>B31*B32</f>
        <v/>
      </c>
    </row>
    <row r="34" ht="24" customHeight="1">
      <c r="A34" s="19" t="inlineStr">
        <is>
          <t>Each tier's lead requirement is checked against this ceiling in the table above. The mail-specific capacity check sits on the Channel Plan.</t>
        </is>
      </c>
    </row>
    <row r="35" ht="20" customHeight="1">
      <c r="A35" s="4" t="inlineStr">
        <is>
          <t>SELECTED TIER  -  drives the Channel Plan</t>
        </is>
      </c>
    </row>
    <row r="36">
      <c r="A36" s="20" t="inlineStr">
        <is>
          <t>Selected tier (1, 2 or 3)</t>
        </is>
      </c>
      <c r="B36" s="36" t="n">
        <v>2</v>
      </c>
    </row>
    <row r="37">
      <c r="A37" s="20" t="inlineStr">
        <is>
          <t>Tier name</t>
        </is>
      </c>
      <c r="B37" s="38">
        <f>INDEX(A25:A27,B36)</f>
        <v/>
      </c>
    </row>
    <row r="38">
      <c r="A38" s="20" t="inlineStr">
        <is>
          <t>Leads required</t>
        </is>
      </c>
      <c r="B38" s="37">
        <f>INDEX(D25:D27,B36)</f>
        <v/>
      </c>
    </row>
    <row r="39">
      <c r="A39" s="20" t="inlineStr">
        <is>
          <t>Total budget</t>
        </is>
      </c>
      <c r="B39" s="31">
        <f>INDEX(G25:G27,B36)</f>
        <v/>
      </c>
    </row>
    <row r="40">
      <c r="A40" s="20" t="inlineStr">
        <is>
          <t>Net of co-op / rebate offset</t>
        </is>
      </c>
      <c r="B40" s="31">
        <f>B39-B10</f>
        <v/>
      </c>
    </row>
  </sheetData>
  <mergeCells count="11">
    <mergeCell ref="A34:K34"/>
    <mergeCell ref="A12:K12"/>
    <mergeCell ref="A4:K4"/>
    <mergeCell ref="A35:K35"/>
    <mergeCell ref="A21:K21"/>
    <mergeCell ref="A30:K30"/>
    <mergeCell ref="A2:K2"/>
    <mergeCell ref="A28:K28"/>
    <mergeCell ref="A14:K14"/>
    <mergeCell ref="A1:K1"/>
    <mergeCell ref="A23:K2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4" customWidth="1" min="3" max="3"/>
    <col width="12" customWidth="1" min="4" max="4"/>
    <col width="13" customWidth="1" min="5" max="5"/>
    <col width="15" customWidth="1" min="6" max="6"/>
    <col width="14" customWidth="1" min="7" max="7"/>
    <col width="17" customWidth="1" min="8" max="8"/>
    <col width="24" customWidth="1" min="9" max="9"/>
  </cols>
  <sheetData>
    <row r="1" ht="30" customHeight="1">
      <c r="A1" s="1" t="inlineStr">
        <is>
          <t>Channel Plan  -  fixed, lumpy and variable</t>
        </is>
      </c>
    </row>
    <row r="2" ht="16" customHeight="1">
      <c r="A2" s="2" t="inlineStr">
        <is>
          <t>Always-on cost is separated from lead buying. Mail is priced per piece, not per lead.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0" customHeight="1">
      <c r="A4" s="4" t="inlineStr">
        <is>
          <t>A.  FIXED / ALWAYS-ON  -  runs whether or not you buy a lead</t>
        </is>
      </c>
    </row>
    <row r="5" ht="26" customHeight="1">
      <c r="A5" s="6" t="inlineStr">
        <is>
          <t>Item</t>
        </is>
      </c>
      <c r="B5" s="6" t="inlineStr">
        <is>
          <t>Annual cost</t>
        </is>
      </c>
      <c r="C5" s="6" t="inlineStr"/>
      <c r="D5" s="6" t="inlineStr">
        <is>
          <t>Leads attributed</t>
        </is>
      </c>
      <c r="E5" s="6" t="inlineStr"/>
      <c r="F5" s="6" t="inlineStr"/>
      <c r="G5" s="6" t="inlineStr"/>
      <c r="H5" s="6" t="inlineStr"/>
      <c r="I5" s="6" t="inlineStr">
        <is>
          <t>Basis / source</t>
        </is>
      </c>
    </row>
    <row r="6">
      <c r="A6" s="39" t="inlineStr">
        <is>
          <t>Website &amp; digital vendor (Apex Media Solutions)</t>
        </is>
      </c>
      <c r="B6" s="40">
        <f>'Current Spend'!B6/2</f>
        <v/>
      </c>
      <c r="I6" s="19" t="inlineStr">
        <is>
          <t>24-month card spend, annualized</t>
        </is>
      </c>
    </row>
    <row r="7">
      <c r="A7" s="39" t="inlineStr">
        <is>
          <t>Better Business Bureau membership</t>
        </is>
      </c>
      <c r="B7" s="40">
        <f>'Current Spend'!B9/2</f>
        <v/>
      </c>
      <c r="I7" s="19" t="inlineStr">
        <is>
          <t>24-month card spend, annualized; bills monthly</t>
        </is>
      </c>
    </row>
    <row r="8">
      <c r="A8" s="39" t="inlineStr">
        <is>
          <t>Direct-mail platform tooling (Dope Marketing)</t>
        </is>
      </c>
      <c r="B8" s="40">
        <f>'Current Spend'!B8/2</f>
        <v/>
      </c>
      <c r="I8" s="19" t="inlineStr">
        <is>
          <t>24-month card spend, annualized; the platform, not the postage</t>
        </is>
      </c>
    </row>
    <row r="9">
      <c r="A9" s="39" t="inlineStr">
        <is>
          <t>Other named marketing vendors</t>
        </is>
      </c>
      <c r="B9" s="40">
        <f>('Current Spend'!B11+'Current Spend'!B12+'Current Spend'!B13)/2</f>
        <v/>
      </c>
      <c r="I9" s="19" t="inlineStr">
        <is>
          <t>LPI Digital, Welcome Wagon, Brandefined - annualized</t>
        </is>
      </c>
    </row>
    <row r="10">
      <c r="A10" s="20" t="inlineStr">
        <is>
          <t>Additional always-on (website / GBP management)</t>
        </is>
      </c>
      <c r="B10" s="26" t="n">
        <v>0</v>
      </c>
      <c r="I10" s="19" t="inlineStr">
        <is>
          <t>No dedicated line exists on the card today. Enter one if you retain this work.</t>
        </is>
      </c>
    </row>
    <row r="11">
      <c r="A11" s="20" t="inlineStr">
        <is>
          <t>Google Business Profile / organic (no media cost)</t>
        </is>
      </c>
      <c r="B11" s="8" t="n">
        <v>0</v>
      </c>
      <c r="D11" s="36" t="n">
        <v>40</v>
      </c>
      <c r="I11" s="19" t="inlineStr">
        <is>
          <t>Leads attributed are a planning estimate driven by the review habit (3 reviews = 1 lead).</t>
        </is>
      </c>
    </row>
    <row r="12">
      <c r="A12" s="41" t="inlineStr">
        <is>
          <t>Total fixed / always-on</t>
        </is>
      </c>
      <c r="B12" s="42">
        <f>SUM(B6:B11)</f>
        <v/>
      </c>
      <c r="C12" s="43" t="n"/>
      <c r="D12" s="44">
        <f>SUM(D6:D11)</f>
        <v/>
      </c>
    </row>
    <row r="14" ht="20" customHeight="1">
      <c r="A14" s="4" t="inlineStr">
        <is>
          <t>B.  LUMPY CHANNELS  -  the drop costs what it costs; response rate decides the yield</t>
        </is>
      </c>
    </row>
    <row r="15" ht="42" customHeight="1">
      <c r="A15" s="6" t="inlineStr">
        <is>
          <t>Channel</t>
        </is>
      </c>
      <c r="B15" s="6" t="inlineStr">
        <is>
          <t>Pieces per drop</t>
        </is>
      </c>
      <c r="C15" s="6" t="inlineStr">
        <is>
          <t>Cost per piece</t>
        </is>
      </c>
      <c r="D15" s="6" t="inlineStr">
        <is>
          <t>Drops per year</t>
        </is>
      </c>
      <c r="E15" s="6" t="inlineStr">
        <is>
          <t>Response rate</t>
        </is>
      </c>
      <c r="F15" s="6" t="inlineStr">
        <is>
          <t>Annual cost</t>
        </is>
      </c>
      <c r="G15" s="6" t="inlineStr">
        <is>
          <t>Leads per year</t>
        </is>
      </c>
      <c r="H15" s="6" t="inlineStr">
        <is>
          <t>Implied cost per lead</t>
        </is>
      </c>
      <c r="I15" s="6" t="inlineStr">
        <is>
          <t>Vs affordable CAC</t>
        </is>
      </c>
    </row>
    <row r="16">
      <c r="A16" s="39" t="inlineStr">
        <is>
          <t>Direct mail (addressed prospect list)</t>
        </is>
      </c>
      <c r="B16" s="36" t="n">
        <v>1433</v>
      </c>
      <c r="C16" s="45" t="n">
        <v>0.85</v>
      </c>
      <c r="D16" s="36" t="n">
        <v>3</v>
      </c>
      <c r="E16" s="27" t="n">
        <v>0.01</v>
      </c>
      <c r="F16" s="40">
        <f>B16*C16*D16</f>
        <v/>
      </c>
      <c r="G16" s="9">
        <f>B16*E16*D16</f>
        <v/>
      </c>
      <c r="H16" s="46">
        <f>IF(G16=0,0,F16/G16)</f>
        <v/>
      </c>
      <c r="I16" s="33">
        <f>IF(H16&lt;='Goal Model'!$B$20,"OK",IF(H16&lt;='Goal Model'!$B$18,"CAUTION - above target","STOP - above breakeven"))</f>
        <v/>
      </c>
    </row>
    <row r="17">
      <c r="A17" s="39" t="inlineStr">
        <is>
          <t>Repeat-touch drip (past customers, house list)</t>
        </is>
      </c>
      <c r="B17" s="36" t="n">
        <v>300</v>
      </c>
      <c r="C17" s="45" t="n">
        <v>0.85</v>
      </c>
      <c r="D17" s="36" t="n">
        <v>4</v>
      </c>
      <c r="E17" s="27" t="n">
        <v>0.03</v>
      </c>
      <c r="F17" s="40">
        <f>B17*C17*D17</f>
        <v/>
      </c>
      <c r="G17" s="9">
        <f>B17*E17*D17</f>
        <v/>
      </c>
      <c r="H17" s="46">
        <f>IF(G17=0,0,F17/G17)</f>
        <v/>
      </c>
      <c r="I17" s="33">
        <f>IF(H17&lt;='Goal Model'!$B$20,"OK",IF(H17&lt;='Goal Model'!$B$18,"CAUTION - above target","STOP - above breakeven"))</f>
        <v/>
      </c>
    </row>
    <row r="18">
      <c r="A18" s="41" t="inlineStr">
        <is>
          <t>Total lumpy</t>
        </is>
      </c>
      <c r="F18" s="42">
        <f>SUM(F16:F17)</f>
        <v/>
      </c>
      <c r="G18" s="47">
        <f>SUM(G16:G17)</f>
        <v/>
      </c>
      <c r="H18" s="42">
        <f>IF(G18=0,0,F18/G18)</f>
        <v/>
      </c>
      <c r="I18" s="43" t="n"/>
    </row>
    <row r="19" ht="42" customHeight="1">
      <c r="A19" s="19" t="inlineStr">
        <is>
          <t>Cost per lead here is an OUTPUT, not a price you pay. It is simply cost per piece divided by response rate: at 1.0% response an $0.85 piece yields an $85 lead; at 0.5% the same drop yields a $170 lead. The drop costs the same either way - that is what makes it lumpy.</t>
        </is>
      </c>
    </row>
    <row r="21" ht="20" customHeight="1">
      <c r="A21" s="4" t="inlineStr">
        <is>
          <t>C.  VARIABLE CHANNELS  -  auction-priced, you buy leads one at a time</t>
        </is>
      </c>
    </row>
    <row r="22" ht="32" customHeight="1">
      <c r="A22" s="6" t="inlineStr">
        <is>
          <t>Channel</t>
        </is>
      </c>
      <c r="B22" s="6" t="inlineStr">
        <is>
          <t>Market cost per lead</t>
        </is>
      </c>
      <c r="C22" s="6" t="inlineStr">
        <is>
          <t>Planned annual spend</t>
        </is>
      </c>
      <c r="D22" s="6" t="inlineStr">
        <is>
          <t>Planned leads</t>
        </is>
      </c>
      <c r="E22" s="6" t="inlineStr"/>
      <c r="F22" s="6" t="inlineStr"/>
      <c r="G22" s="6" t="inlineStr"/>
      <c r="H22" s="6" t="inlineStr">
        <is>
          <t>Vs affordable CAC</t>
        </is>
      </c>
      <c r="I22" s="6" t="inlineStr"/>
    </row>
    <row r="23">
      <c r="A23" s="39" t="inlineStr">
        <is>
          <t>Local Services Ads (LSA)</t>
        </is>
      </c>
      <c r="B23" s="26" t="n">
        <v>150</v>
      </c>
      <c r="C23" s="26" t="n">
        <v>18000</v>
      </c>
      <c r="D23" s="9">
        <f>IF(B23=0,0,C23/B23)</f>
        <v/>
      </c>
      <c r="H23" s="33">
        <f>IF(B23&lt;='Goal Model'!$B$20,"OK",IF(B23&lt;='Goal Model'!$B$18,"CAUTION - above target","STOP - above breakeven"))</f>
        <v/>
      </c>
    </row>
    <row r="24">
      <c r="A24" s="39" t="inlineStr">
        <is>
          <t>Facebook / Meta</t>
        </is>
      </c>
      <c r="B24" s="26" t="n">
        <v>100</v>
      </c>
      <c r="C24" s="26" t="n">
        <v>12000</v>
      </c>
      <c r="D24" s="9">
        <f>IF(B24=0,0,C24/B24)</f>
        <v/>
      </c>
      <c r="H24" s="33">
        <f>IF(B24&lt;='Goal Model'!$B$20,"OK",IF(B24&lt;='Goal Model'!$B$18,"CAUTION - above target","STOP - above breakeven"))</f>
        <v/>
      </c>
    </row>
    <row r="25">
      <c r="A25" s="39" t="inlineStr">
        <is>
          <t>Referral program (thank-you / rewards)</t>
        </is>
      </c>
      <c r="B25" s="26" t="n">
        <v>50</v>
      </c>
      <c r="C25" s="26" t="n">
        <v>1500</v>
      </c>
      <c r="D25" s="9">
        <f>IF(B25=0,0,C25/B25)</f>
        <v/>
      </c>
      <c r="H25" s="33">
        <f>IF(B25&lt;='Goal Model'!$B$20,"OK",IF(B25&lt;='Goal Model'!$B$18,"CAUTION - above target","STOP - above breakeven"))</f>
        <v/>
      </c>
    </row>
    <row r="26">
      <c r="A26" s="41" t="inlineStr">
        <is>
          <t>Total variable</t>
        </is>
      </c>
      <c r="B26" s="48">
        <f>IF(D26=0,0,C26/D26)</f>
        <v/>
      </c>
      <c r="C26" s="48">
        <f>SUM(C23:C25)</f>
        <v/>
      </c>
      <c r="D26" s="47">
        <f>SUM(D23:D25)</f>
        <v/>
      </c>
    </row>
    <row r="28" ht="20" customHeight="1">
      <c r="A28" s="4" t="inlineStr">
        <is>
          <t>D.  PLAN TOTAL vs THE SELECTED TIER</t>
        </is>
      </c>
    </row>
    <row r="29">
      <c r="A29" s="24" t="inlineStr">
        <is>
          <t>Total planned spend  (fixed + lumpy + variable)</t>
        </is>
      </c>
      <c r="B29" s="31">
        <f>B12+F18+C26</f>
        <v/>
      </c>
    </row>
    <row r="30">
      <c r="A30" s="24" t="inlineStr">
        <is>
          <t>Total planned leads</t>
        </is>
      </c>
      <c r="B30" s="37">
        <f>D12+G18+D26</f>
        <v/>
      </c>
    </row>
    <row r="31">
      <c r="A31" s="20" t="inlineStr">
        <is>
          <t>Implied jobs</t>
        </is>
      </c>
      <c r="B31" s="49">
        <f>B30*'Goal Model'!B8</f>
        <v/>
      </c>
    </row>
    <row r="32">
      <c r="A32" s="20" t="inlineStr">
        <is>
          <t>Implied new-work revenue</t>
        </is>
      </c>
      <c r="B32" s="50">
        <f>B31*'Goal Model'!B7</f>
        <v/>
      </c>
    </row>
    <row r="33">
      <c r="A33" s="20" t="inlineStr">
        <is>
          <t>Blended cost per lead</t>
        </is>
      </c>
      <c r="B33" s="51">
        <f>IF(B30=0,0,B29/B30)</f>
        <v/>
      </c>
    </row>
    <row r="34">
      <c r="A34" s="24" t="inlineStr">
        <is>
          <t>Implied cost per job</t>
        </is>
      </c>
      <c r="B34" s="31">
        <f>IF(B31=0,0,B29/B31)</f>
        <v/>
      </c>
    </row>
    <row r="35">
      <c r="A35" s="20" t="inlineStr">
        <is>
          <t>Cost per job vs affordable ceiling</t>
        </is>
      </c>
      <c r="B35" s="38">
        <f>IF(B34&lt;='Goal Model'!B16,"PASS - under breakeven","FAIL - above breakeven")</f>
        <v/>
      </c>
    </row>
    <row r="36">
      <c r="A36" s="20" t="inlineStr">
        <is>
          <t>Selected tier</t>
        </is>
      </c>
      <c r="B36" s="38">
        <f>'Goal Model'!B37</f>
        <v/>
      </c>
    </row>
    <row r="37">
      <c r="A37" s="20" t="inlineStr">
        <is>
          <t>Tier leads required</t>
        </is>
      </c>
      <c r="B37" s="52">
        <f>'Goal Model'!B38</f>
        <v/>
      </c>
    </row>
    <row r="38">
      <c r="A38" s="20" t="inlineStr">
        <is>
          <t>Tier budget</t>
        </is>
      </c>
      <c r="B38" s="50">
        <f>'Goal Model'!B39</f>
        <v/>
      </c>
    </row>
    <row r="39">
      <c r="A39" s="24" t="inlineStr">
        <is>
          <t>Leads check</t>
        </is>
      </c>
      <c r="B39" s="38">
        <f>IF(B30&gt;=B37,"meets the tier","SHORT of the tier")</f>
        <v/>
      </c>
    </row>
    <row r="40">
      <c r="A40" s="24" t="inlineStr">
        <is>
          <t>Budget check</t>
        </is>
      </c>
      <c r="B40" s="38">
        <f>IF(B29&lt;=B38,"within tier budget","OVER tier budget")</f>
        <v/>
      </c>
    </row>
    <row r="42" ht="20" customHeight="1">
      <c r="A42" s="4" t="inlineStr">
        <is>
          <t>E.  LOCAL MARKET CEILING</t>
        </is>
      </c>
    </row>
    <row r="43">
      <c r="A43" s="20" t="inlineStr">
        <is>
          <t>Addressed mailable homes (current list)</t>
        </is>
      </c>
      <c r="B43" s="52">
        <f>B16</f>
        <v/>
      </c>
    </row>
    <row r="44">
      <c r="A44" s="20" t="inlineStr">
        <is>
          <t>Max plausible response rate (prospect list)</t>
        </is>
      </c>
      <c r="B44" s="27" t="n">
        <v>0.05</v>
      </c>
    </row>
    <row r="45">
      <c r="A45" s="20" t="inlineStr">
        <is>
          <t>Max plausible mail leads per year</t>
        </is>
      </c>
      <c r="B45" s="32">
        <f>B43*B44*D16</f>
        <v/>
      </c>
    </row>
    <row r="46">
      <c r="A46" s="20" t="inlineStr">
        <is>
          <t>Planned mail leads per year</t>
        </is>
      </c>
      <c r="B46" s="49">
        <f>G16</f>
        <v/>
      </c>
    </row>
    <row r="47">
      <c r="A47" s="24" t="inlineStr">
        <is>
          <t>Mail universe check</t>
        </is>
      </c>
      <c r="B47" s="38">
        <f>IF(B46&gt;B45,"EXCEEDS local universe","within universe")</f>
        <v/>
      </c>
    </row>
    <row r="48">
      <c r="A48" s="20" t="inlineStr">
        <is>
          <t>Roof-target universe (counties pulled)</t>
        </is>
      </c>
      <c r="B48" s="52">
        <f>'Goal Model'!B31</f>
        <v/>
      </c>
    </row>
    <row r="49">
      <c r="A49" s="20" t="inlineStr">
        <is>
          <t>Planned leads as share of that universe</t>
        </is>
      </c>
      <c r="B49" s="53">
        <f>B30/B48</f>
        <v/>
      </c>
    </row>
    <row r="51" ht="56" customHeight="1">
      <c r="A51" s="19" t="inlineStr">
        <is>
          <t>Cost-per-lead prices in section C are 90-DAY SEEDS at external market rates - not a performance promise. Replace each with your own cost / total_used from the Contractors Cloud lead-source field; that field, captured at record creation, is what turns an assumed cost per lead into a measured one. Response rates in section B are the ones to watch: they move the mail economics more than any price negotiation will.</t>
        </is>
      </c>
    </row>
  </sheetData>
  <mergeCells count="9">
    <mergeCell ref="A19:I19"/>
    <mergeCell ref="A2:I2"/>
    <mergeCell ref="A51:I51"/>
    <mergeCell ref="A28:I28"/>
    <mergeCell ref="A42:I42"/>
    <mergeCell ref="A14:I14"/>
    <mergeCell ref="A1:I1"/>
    <mergeCell ref="A4:I4"/>
    <mergeCell ref="A21:I2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4" customWidth="1" min="4" max="4"/>
    <col width="44" customWidth="1" min="5" max="5"/>
  </cols>
  <sheetData>
    <row r="1" ht="30" customHeight="1">
      <c r="A1" s="1" t="inlineStr">
        <is>
          <t>Current Marketing Spend</t>
        </is>
      </c>
    </row>
    <row r="2" ht="16" customHeight="1">
      <c r="A2" s="2" t="inlineStr">
        <is>
          <t>Named vendors from 24 months of company-card charges. The always-on section of the Channel Plan is built from these.</t>
        </is>
      </c>
    </row>
    <row r="3" ht="4" customHeight="1">
      <c r="A3" s="3" t="n"/>
      <c r="B3" s="3" t="n"/>
      <c r="C3" s="3" t="n"/>
      <c r="D3" s="3" t="n"/>
      <c r="E3" s="3" t="n"/>
    </row>
    <row r="4" ht="20" customHeight="1">
      <c r="A4" s="4" t="inlineStr">
        <is>
          <t>Named marketing vendors  -  24 months of company-card charges</t>
        </is>
      </c>
    </row>
    <row r="5" ht="20" customHeight="1">
      <c r="A5" s="54" t="inlineStr">
        <is>
          <t>Vendor</t>
        </is>
      </c>
      <c r="B5" s="54" t="inlineStr">
        <is>
          <t>Paid (24 mo)</t>
        </is>
      </c>
      <c r="C5" s="54" t="inlineStr">
        <is>
          <t>Classification</t>
        </is>
      </c>
      <c r="D5" s="54" t="inlineStr">
        <is>
          <t>Action</t>
        </is>
      </c>
      <c r="E5" s="54" t="inlineStr">
        <is>
          <t>Note</t>
        </is>
      </c>
    </row>
    <row r="6">
      <c r="A6" s="39" t="inlineStr">
        <is>
          <t>Apex Media Solutions LLC</t>
        </is>
      </c>
      <c r="B6" s="55" t="n">
        <v>4960</v>
      </c>
      <c r="C6" s="39" t="inlineStr">
        <is>
          <t>Marketing</t>
        </is>
      </c>
      <c r="D6" s="39" t="inlineStr">
        <is>
          <t>Keep - always-on</t>
        </is>
      </c>
      <c r="E6" s="56" t="inlineStr">
        <is>
          <t>Website / digital vendor; largest marketing vendor on the card.</t>
        </is>
      </c>
    </row>
    <row r="7">
      <c r="A7" s="39" t="inlineStr">
        <is>
          <t>HailTrace</t>
        </is>
      </c>
      <c r="B7" s="55" t="n">
        <v>2260</v>
      </c>
      <c r="C7" s="39" t="inlineStr">
        <is>
          <t>Operations</t>
        </is>
      </c>
      <c r="D7" s="39" t="inlineStr">
        <is>
          <t>Reclass out</t>
        </is>
      </c>
      <c r="E7" s="56" t="inlineStr">
        <is>
          <t>Storm / hail intelligence tool -&gt; Operations, not marketing.</t>
        </is>
      </c>
    </row>
    <row r="8">
      <c r="A8" s="39" t="inlineStr">
        <is>
          <t>Dope Marketing</t>
        </is>
      </c>
      <c r="B8" s="55" t="n">
        <v>2039</v>
      </c>
      <c r="C8" s="39" t="inlineStr">
        <is>
          <t>Marketing</t>
        </is>
      </c>
      <c r="D8" s="39" t="inlineStr">
        <is>
          <t>Keep - always-on</t>
        </is>
      </c>
      <c r="E8" s="56" t="inlineStr">
        <is>
          <t>Direct-mail platform; the tooling, not the postage.</t>
        </is>
      </c>
    </row>
    <row r="9">
      <c r="A9" s="39" t="inlineStr">
        <is>
          <t>Better Business Bureau</t>
        </is>
      </c>
      <c r="B9" s="55" t="n">
        <v>1230</v>
      </c>
      <c r="C9" s="39" t="inlineStr">
        <is>
          <t>Marketing</t>
        </is>
      </c>
      <c r="D9" s="39" t="inlineStr">
        <is>
          <t>Keep - always-on</t>
        </is>
      </c>
      <c r="E9" s="56" t="inlineStr">
        <is>
          <t>Membership; the only line that bills every month.</t>
        </is>
      </c>
    </row>
    <row r="10">
      <c r="A10" s="39" t="inlineStr">
        <is>
          <t>Pothos Advertising</t>
        </is>
      </c>
      <c r="B10" s="55" t="n">
        <v>1210</v>
      </c>
      <c r="C10" s="39" t="inlineStr">
        <is>
          <t>IT</t>
        </is>
      </c>
      <c r="D10" s="39" t="inlineStr">
        <is>
          <t>Reclass out</t>
        </is>
      </c>
      <c r="E10" s="56" t="inlineStr">
        <is>
          <t>Reclassified to IT in prior analysis, not marketing.</t>
        </is>
      </c>
    </row>
    <row r="11">
      <c r="A11" s="39" t="inlineStr">
        <is>
          <t>LPI Digital LLC</t>
        </is>
      </c>
      <c r="B11" s="55" t="n">
        <v>414</v>
      </c>
      <c r="C11" s="39" t="inlineStr">
        <is>
          <t>Marketing</t>
        </is>
      </c>
      <c r="D11" s="39" t="inlineStr">
        <is>
          <t>Review</t>
        </is>
      </c>
      <c r="E11" s="56" t="inlineStr">
        <is>
          <t>Single charge; confirm scope and whether still active.</t>
        </is>
      </c>
    </row>
    <row r="12">
      <c r="A12" s="39" t="inlineStr">
        <is>
          <t>Welcome Wagon</t>
        </is>
      </c>
      <c r="B12" s="55" t="n">
        <v>336.96</v>
      </c>
      <c r="C12" s="39" t="inlineStr">
        <is>
          <t>Marketing</t>
        </is>
      </c>
      <c r="D12" s="39" t="inlineStr">
        <is>
          <t>Review</t>
        </is>
      </c>
      <c r="E12" s="56" t="inlineStr">
        <is>
          <t>New-mover direct mail; single charge.</t>
        </is>
      </c>
    </row>
    <row r="13">
      <c r="A13" s="39" t="inlineStr">
        <is>
          <t>Brandefined</t>
        </is>
      </c>
      <c r="B13" s="55" t="n">
        <v>64.7</v>
      </c>
      <c r="C13" s="39" t="inlineStr">
        <is>
          <t>Marketing</t>
        </is>
      </c>
      <c r="D13" s="39" t="inlineStr">
        <is>
          <t>Review</t>
        </is>
      </c>
      <c r="E13" s="56" t="inlineStr">
        <is>
          <t>Most recent marketing charge on the card.</t>
        </is>
      </c>
    </row>
    <row r="14">
      <c r="A14" s="41" t="inlineStr">
        <is>
          <t>Total named marketing (card, 24 mo)</t>
        </is>
      </c>
      <c r="B14" s="42">
        <f>SUM(B6:B13)</f>
        <v/>
      </c>
      <c r="C14" s="57" t="n"/>
      <c r="D14" s="57" t="n"/>
      <c r="E14" s="57" t="n"/>
    </row>
    <row r="15">
      <c r="A15" s="20" t="inlineStr">
        <is>
          <t>Less: reclassified to Operations / IT</t>
        </is>
      </c>
      <c r="B15" s="58">
        <f>-(B7+B10)</f>
        <v/>
      </c>
    </row>
    <row r="16">
      <c r="A16" s="24" t="inlineStr">
        <is>
          <t>Net named marketing (card, 24 mo)</t>
        </is>
      </c>
      <c r="B16" s="59">
        <f>B14+B15</f>
        <v/>
      </c>
    </row>
    <row r="17">
      <c r="A17" s="24" t="inlineStr">
        <is>
          <t>Annualized (= net / 2)</t>
        </is>
      </c>
      <c r="B17" s="59">
        <f>B16/2</f>
        <v/>
      </c>
    </row>
    <row r="19" ht="20" customHeight="1">
      <c r="A19" s="4" t="inlineStr">
        <is>
          <t>Current marketing as a share of revenue</t>
        </is>
      </c>
    </row>
    <row r="20">
      <c r="A20" s="20" t="inlineStr">
        <is>
          <t>Filed return - annual advertising line</t>
        </is>
      </c>
      <c r="B20" s="60" t="n">
        <v>11412</v>
      </c>
    </row>
    <row r="21">
      <c r="A21" s="20" t="inlineStr">
        <is>
          <t>Revenue (most recent filed year)</t>
        </is>
      </c>
      <c r="B21" s="60">
        <f>'Goal Model'!B5</f>
        <v/>
      </c>
    </row>
    <row r="22">
      <c r="A22" s="24" t="inlineStr">
        <is>
          <t>Advertising as % of revenue</t>
        </is>
      </c>
      <c r="B22" s="30">
        <f>B20/B21</f>
        <v/>
      </c>
    </row>
    <row r="24" ht="28" customHeight="1">
      <c r="A24" s="19" t="inlineStr">
        <is>
          <t>The card census spans 24 months and misses anything paid by check or another card. The filed return's annual advertising line ($11,412 = 0.96% of revenue) is the authoritative current figure.</t>
        </is>
      </c>
    </row>
  </sheetData>
  <mergeCells count="5">
    <mergeCell ref="A4:E4"/>
    <mergeCell ref="A24:E24"/>
    <mergeCell ref="A2:E2"/>
    <mergeCell ref="A19:E19"/>
    <mergeCell ref="A1:E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48" customWidth="1" min="3" max="3"/>
  </cols>
  <sheetData>
    <row r="1" ht="30" customHeight="1">
      <c r="A1" s="1" t="inlineStr">
        <is>
          <t>Co-op &amp; Rebates</t>
        </is>
      </c>
    </row>
    <row r="2" ht="16" customHeight="1">
      <c r="A2" s="2" t="inlineStr">
        <is>
          <t>Offsets that reduce out-of-pocket marketing spend. Enter amounts as they are confirmed.</t>
        </is>
      </c>
    </row>
    <row r="3" ht="4" customHeight="1">
      <c r="A3" s="3" t="n"/>
      <c r="B3" s="3" t="n"/>
      <c r="C3" s="3" t="n"/>
    </row>
    <row r="4" ht="20" customHeight="1">
      <c r="A4" s="4" t="inlineStr">
        <is>
          <t>Offsets  -  edit the highlighted cells</t>
        </is>
      </c>
    </row>
    <row r="5">
      <c r="A5" s="20" t="inlineStr">
        <is>
          <t>Owens Corning co-op (annual)</t>
        </is>
      </c>
      <c r="B5" s="26" t="n">
        <v>0</v>
      </c>
      <c r="C5" s="19" t="inlineStr">
        <is>
          <t>Pending - Guy is confirming the amount with the rep. Enter it here when known; leave 0 until then.</t>
        </is>
      </c>
    </row>
    <row r="6">
      <c r="A6" s="20" t="inlineStr">
        <is>
          <t>Supplier / manufacturer rebates (annual)</t>
        </is>
      </c>
      <c r="B6" s="26" t="n">
        <v>0</v>
      </c>
      <c r="C6" s="19" t="inlineStr">
        <is>
          <t>Enter any confirmed supplier rebate that offsets marketing.</t>
        </is>
      </c>
    </row>
    <row r="7">
      <c r="A7" s="24" t="inlineStr">
        <is>
          <t>Total offsets</t>
        </is>
      </c>
      <c r="B7" s="61">
        <f>B5+B6</f>
        <v/>
      </c>
    </row>
    <row r="9" ht="20" customHeight="1">
      <c r="A9" s="4" t="inlineStr">
        <is>
          <t>Effect on the selected tier</t>
        </is>
      </c>
    </row>
    <row r="10">
      <c r="A10" s="20" t="inlineStr">
        <is>
          <t>Selected tier budget (gross)</t>
        </is>
      </c>
      <c r="B10" s="60">
        <f>'Goal Model'!B39</f>
        <v/>
      </c>
    </row>
    <row r="11">
      <c r="A11" s="20" t="inlineStr">
        <is>
          <t>Less: total offsets</t>
        </is>
      </c>
      <c r="B11" s="60">
        <f>B7</f>
        <v/>
      </c>
    </row>
    <row r="12">
      <c r="A12" s="24" t="inlineStr">
        <is>
          <t>Net out-of-pocket</t>
        </is>
      </c>
      <c r="B12" s="31">
        <f>B10-B11</f>
        <v/>
      </c>
    </row>
    <row r="14" ht="28" customHeight="1">
      <c r="A14" s="19" t="inlineStr">
        <is>
          <t>No co-op figure has been invented. The offset defaults to 0 and flows into the Goal Model and Summary the moment a real number is entered above.</t>
        </is>
      </c>
    </row>
  </sheetData>
  <mergeCells count="5">
    <mergeCell ref="A1:C1"/>
    <mergeCell ref="A14:C14"/>
    <mergeCell ref="A9:C9"/>
    <mergeCell ref="A4:C4"/>
    <mergeCell ref="A2:C2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74" customWidth="1" min="3" max="3"/>
  </cols>
  <sheetData>
    <row r="1" ht="30" customHeight="1">
      <c r="A1" s="1" t="inlineStr">
        <is>
          <t>Assumptions &amp; Sources</t>
        </is>
      </c>
    </row>
    <row r="2" ht="16" customHeight="1">
      <c r="A2" s="2" t="inlineStr">
        <is>
          <t>How the model is built, every seeded price, and the citations.</t>
        </is>
      </c>
    </row>
    <row r="3" ht="4" customHeight="1">
      <c r="A3" s="3" t="n"/>
      <c r="B3" s="3" t="n"/>
      <c r="C3" s="3" t="n"/>
    </row>
    <row r="4" ht="64" customHeight="1">
      <c r="A4" s="62" t="inlineStr">
        <is>
          <t>METHOD: Ambition drives the spend. You choose what to achieve; the budget is derived from your own economics and the resulting percent of revenue is only reported back to you -- it is never an input. Every number driving a tier traces to the 2025 filed return or to your own pulled market. External data is confined to input prices and response rates, labeled as 90-day seeds to be replaced by measured Contractors Cloud lead-source data. No industry ROI figure is used anywhere.</t>
        </is>
      </c>
    </row>
    <row r="5" ht="20" customHeight="1">
      <c r="A5" s="54" t="inlineStr">
        <is>
          <t>Item</t>
        </is>
      </c>
      <c r="B5" s="54" t="inlineStr">
        <is>
          <t>Value</t>
        </is>
      </c>
      <c r="C5" s="54" t="inlineStr">
        <is>
          <t>Source / basis</t>
        </is>
      </c>
    </row>
    <row r="6" ht="32" customHeight="1">
      <c r="A6" s="63" t="inlineStr">
        <is>
          <t>Annual revenue</t>
        </is>
      </c>
      <c r="B6" s="63" t="inlineStr">
        <is>
          <t>$1,189,873</t>
        </is>
      </c>
      <c r="C6" s="64" t="inlineStr">
        <is>
          <t>YOUR BOOKS. 2025 filed return, gross receipts.</t>
        </is>
      </c>
    </row>
    <row r="7" ht="32" customHeight="1">
      <c r="A7" s="63" t="inlineStr">
        <is>
          <t>Gross profit / margin</t>
        </is>
      </c>
      <c r="B7" s="63" t="inlineStr">
        <is>
          <t>$425,875 / 35.79%</t>
        </is>
      </c>
      <c r="C7" s="64" t="inlineStr">
        <is>
          <t>YOUR BOOKS. 2025 filed return (Form 1125-A). Matches the owners' stated ~33%.</t>
        </is>
      </c>
    </row>
    <row r="8" ht="32" customHeight="1">
      <c r="A8" s="63" t="inlineStr">
        <is>
          <t>Average job value</t>
        </is>
      </c>
      <c r="B8" s="63" t="inlineStr">
        <is>
          <t>$5,000</t>
        </is>
      </c>
      <c r="C8" s="64" t="inlineStr">
        <is>
          <t>YOUR TARGET. $150,000 of new work at ~$5,000/job = ~30 jobs (Tier 1).</t>
        </is>
      </c>
    </row>
    <row r="9" ht="32" customHeight="1">
      <c r="A9" s="63" t="inlineStr">
        <is>
          <t>Gross profit per job</t>
        </is>
      </c>
      <c r="B9" s="63" t="inlineStr">
        <is>
          <t>~$1,790</t>
        </is>
      </c>
      <c r="C9" s="64" t="inlineStr">
        <is>
          <t>DERIVED. $5,000 x 35.79%. The breakeven cost to acquire a job; the ceiling on every tier.</t>
        </is>
      </c>
    </row>
    <row r="10" ht="32" customHeight="1">
      <c r="A10" s="63" t="inlineStr">
        <is>
          <t>The card's $4,000 / $5,000</t>
        </is>
      </c>
      <c r="B10" s="63" t="inlineStr">
        <is>
          <t>job VALUE, not profit</t>
        </is>
      </c>
      <c r="C10" s="64" t="inlineStr">
        <is>
          <t>CLARIFIED. That figure is revenue per job, not gross profit. Acquisition math uses the margin-derived $1,790.</t>
        </is>
      </c>
    </row>
    <row r="11" ht="32" customHeight="1">
      <c r="A11" s="63" t="inlineStr">
        <is>
          <t>Close rate</t>
        </is>
      </c>
      <c r="B11" s="63" t="inlineStr">
        <is>
          <t>25% (4 leads = 1 job)</t>
        </is>
      </c>
      <c r="C11" s="64" t="inlineStr">
        <is>
          <t>YOUR WORKING ASSUMPTION. Editable; the wall also carries a 50% reading.</t>
        </is>
      </c>
    </row>
    <row r="12" ht="32" customHeight="1">
      <c r="A12" s="63" t="inlineStr">
        <is>
          <t>Target return</t>
        </is>
      </c>
      <c r="B12" s="63" t="inlineStr">
        <is>
          <t>3.0 : 1</t>
        </is>
      </c>
      <c r="C12" s="64" t="inlineStr">
        <is>
          <t>YOUR CHOICE. $3 of gross profit per $1 spent; sets the target (not breakeven) cost per lead.</t>
        </is>
      </c>
    </row>
    <row r="13" ht="32" customHeight="1">
      <c r="A13" s="63" t="inlineStr">
        <is>
          <t>Tier goals</t>
        </is>
      </c>
      <c r="B13" s="63" t="inlineStr">
        <is>
          <t>$150k / $400k / $750k</t>
        </is>
      </c>
      <c r="C13" s="64" t="inlineStr">
        <is>
          <t>YOUR CHOICE. Tier 3 lands the business near the $2M the owners have talked about.</t>
        </is>
      </c>
    </row>
    <row r="14" ht="32" customHeight="1">
      <c r="A14" s="63" t="inlineStr">
        <is>
          <t>Current advertising spend</t>
        </is>
      </c>
      <c r="B14" s="63" t="inlineStr">
        <is>
          <t>$11,412 = 0.96% of revenue</t>
        </is>
      </c>
      <c r="C14" s="64" t="inlineStr">
        <is>
          <t>YOUR BOOKS. 2025 filed return advertising line.</t>
        </is>
      </c>
    </row>
    <row r="15" ht="32" customHeight="1">
      <c r="A15" s="63" t="inlineStr">
        <is>
          <t>Named vendor card spend</t>
        </is>
      </c>
      <c r="B15" s="63" t="inlineStr">
        <is>
          <t>$12,514.66 / 8 vendors (24 mo)</t>
        </is>
      </c>
      <c r="C15" s="64" t="inlineStr">
        <is>
          <t>YOUR BOOKS. HailTrace -&gt; Operations and Pothos -&gt; IT reclassified out; net $9,044.66, annualized $4,522.</t>
        </is>
      </c>
    </row>
    <row r="16" ht="32" customHeight="1">
      <c r="A16" s="63" t="inlineStr">
        <is>
          <t>Fixed / always-on cost</t>
        </is>
      </c>
      <c r="B16" s="63" t="inlineStr">
        <is>
          <t>~$4,522 per year</t>
        </is>
      </c>
      <c r="C16" s="64" t="inlineStr">
        <is>
          <t>YOUR BOOKS. Built only from marketing vendors already on the card, annualized. Nothing invented.</t>
        </is>
      </c>
    </row>
    <row r="17" ht="32" customHeight="1">
      <c r="A17" s="63" t="inlineStr">
        <is>
          <t>Addressed mailable homes</t>
        </is>
      </c>
      <c r="B17" s="63" t="inlineStr">
        <is>
          <t>1,433</t>
        </is>
      </c>
      <c r="C17" s="64" t="inlineStr">
        <is>
          <t>YOUR MARKET. The current addressed mailer list (raw pull ~1,913 rows before validation).</t>
        </is>
      </c>
    </row>
    <row r="18" ht="32" customHeight="1">
      <c r="A18" s="63" t="inlineStr">
        <is>
          <t>Roof-target universe</t>
        </is>
      </c>
      <c r="B18" s="63" t="inlineStr">
        <is>
          <t>~35,000</t>
        </is>
      </c>
      <c r="C18" s="64" t="inlineStr">
        <is>
          <t>YOUR MARKET. Roof-target pull across the counties worked (35,079 records).</t>
        </is>
      </c>
    </row>
    <row r="19" ht="32" customHeight="1">
      <c r="A19" s="63" t="inlineStr">
        <is>
          <t>Mail cost per piece</t>
        </is>
      </c>
      <c r="B19" s="63" t="inlineStr">
        <is>
          <t>$0.85 (seed)</t>
        </is>
      </c>
      <c r="C19" s="64" t="inlineStr">
        <is>
          <t>MARKET PRICE. All-in print + postage + list commonly $0.55-$1.50 for addressed mail; USPS EDDM retail postage alone is $0.260 (2026). crst.net ; mailpro.org.</t>
        </is>
      </c>
    </row>
    <row r="20" ht="32" customHeight="1">
      <c r="A20" s="63" t="inlineStr">
        <is>
          <t>Mail response rate - prospect</t>
        </is>
      </c>
      <c r="B20" s="63" t="inlineStr">
        <is>
          <t>1.0% (conservative seed)</t>
        </is>
      </c>
      <c r="C20" s="64" t="inlineStr">
        <is>
          <t>BENCHMARK. ANA/DMA Response Rate Report (July 2025): prospect lists 2-5%. Roofing-specific sources report far lower for untargeted routes (0.25-0.5%). blog.crst.net ; blog.reworked.ai. Seeded BELOW the ANA band deliberately.</t>
        </is>
      </c>
    </row>
    <row r="21" ht="32" customHeight="1">
      <c r="A21" s="63" t="inlineStr">
        <is>
          <t>Mail response rate - house list</t>
        </is>
      </c>
      <c r="B21" s="63" t="inlineStr">
        <is>
          <t>3.0% (conservative seed)</t>
        </is>
      </c>
      <c r="C21" s="64" t="inlineStr">
        <is>
          <t>BENCHMARK. ANA/DMA: house lists 5-9%. Seeded below the band because roofing is a rare repeat purchase; the value is referral and reactivation.</t>
        </is>
      </c>
    </row>
    <row r="22" ht="32" customHeight="1">
      <c r="A22" s="63" t="inlineStr">
        <is>
          <t>Cost per lead - LSA</t>
        </is>
      </c>
      <c r="B22" s="63" t="inlineStr">
        <is>
          <t>$150 (seed)</t>
        </is>
      </c>
      <c r="C22" s="64" t="inlineStr">
        <is>
          <t>MARKET PRICE. Roofing LSA ~$45-$150/lead. theroofingbrief.com ; builtrightdigital.com. Replace with measured.</t>
        </is>
      </c>
    </row>
    <row r="23" ht="32" customHeight="1">
      <c r="A23" s="63" t="inlineStr">
        <is>
          <t>Cost per lead - Facebook</t>
        </is>
      </c>
      <c r="B23" s="63" t="inlineStr">
        <is>
          <t>$100 (seed)</t>
        </is>
      </c>
      <c r="C23" s="64" t="inlineStr">
        <is>
          <t>MARKET PRICE. Roofing Meta ~$77/lead avg, $30-$80 range. builtrightdigital.com. Replace with measured.</t>
        </is>
      </c>
    </row>
    <row r="24" ht="32" customHeight="1">
      <c r="A24" s="63" t="inlineStr">
        <is>
          <t>Referral program</t>
        </is>
      </c>
      <c r="B24" s="63" t="inlineStr">
        <is>
          <t>$50/lead (seed)</t>
        </is>
      </c>
      <c r="C24" s="64" t="inlineStr">
        <is>
          <t>MARKET. Referrals ~$150-$200 per closed JOB and close above 50%; the cheapest lead the business has.</t>
        </is>
      </c>
    </row>
    <row r="25" ht="32" customHeight="1">
      <c r="A25" s="63" t="inlineStr">
        <is>
          <t>% of revenue band</t>
        </is>
      </c>
      <c r="B25" s="63" t="inlineStr">
        <is>
          <t>5-10% (context only)</t>
        </is>
      </c>
      <c r="C25" s="64" t="inlineStr">
        <is>
          <t>BENCHMARK, SANITY ONLY. Roofing shops under $5M typically run 7-8%. useproline.com ; structurem.com. Never used as a target here.</t>
        </is>
      </c>
    </row>
    <row r="26" ht="32" customHeight="1">
      <c r="A26" s="63" t="inlineStr">
        <is>
          <t>Owens Corning co-op</t>
        </is>
      </c>
      <c r="B26" s="63" t="inlineStr">
        <is>
          <t>$0 (pending)</t>
        </is>
      </c>
      <c r="C26" s="64" t="inlineStr">
        <is>
          <t>NOT INVENTED. Defaults to 0 until the confirmed amount is entered on the Co-op tab.</t>
        </is>
      </c>
    </row>
    <row r="28" ht="20" customHeight="1">
      <c r="A28" s="4" t="inlineStr">
        <is>
          <t>Why mail is modeled differently</t>
        </is>
      </c>
    </row>
    <row r="29" ht="76" customHeight="1">
      <c r="A29" s="65" t="inlineStr">
        <is>
          <t>A mail drop is not bought one lead at a time. Printing and posting 1,433 pieces costs the same whether it returns eight leads or twenty-eight. So mail is modeled as pieces x cost per piece x drops, with a response rate deriving the leads, and the cost per lead falls out as a RESULT. That result is simply cost per piece divided by response rate -- which is why response rate, not price per piece, is the number worth managing. Halving the response doubles the cost per lead for an identical print and postage bill.</t>
        </is>
      </c>
    </row>
    <row r="31" ht="20" customHeight="1">
      <c r="A31" s="4" t="inlineStr">
        <is>
          <t>What a lead and a review are worth</t>
        </is>
      </c>
    </row>
    <row r="32" ht="76" customHeight="1">
      <c r="A32" s="65" t="inlineStr">
        <is>
          <t>On your own economics a lead is worth up to its breakeven cost -- gross profit per job divided by leads per job (~$1,790 / 4 = ~$447) -- and a review about a third of that (3 reviews = 1 lead, ~$149). Separately, the UDE work assigns a review a strategic value of $800; that rests on more optimistic inputs and lives in that deliverable. This budget uses the conservative margin-derived ceiling for what you can afford to PAY; the $800 is a strategic value, not a spend ceiling.</t>
        </is>
      </c>
    </row>
    <row r="34" ht="20" customHeight="1">
      <c r="A34" s="4" t="inlineStr">
        <is>
          <t>How to make this a living worksheet</t>
        </is>
      </c>
    </row>
    <row r="35" ht="62" customHeight="1">
      <c r="A35" s="65" t="inlineStr">
        <is>
          <t>1. Every highlighted cell is editable.  2. Change a tier's new-work goal, the close rate, the target return, a response rate or any cost per lead and the Summary, Goal Model and Channel Plan all update.  3. Set the Selected tier cell to 1, 2 or 3 to re-point the Channel Plan.  4. Over ~90 days, replace the market cost-per-lead seeds with your own cost / total_used from the Contractors Cloud lead-source field.  5. Enter the Owens Corning co-op amount on the Co-op tab when confirmed.</t>
        </is>
      </c>
    </row>
  </sheetData>
  <mergeCells count="9">
    <mergeCell ref="A28:C28"/>
    <mergeCell ref="A1:C1"/>
    <mergeCell ref="A32:C32"/>
    <mergeCell ref="A31:C31"/>
    <mergeCell ref="A35:C35"/>
    <mergeCell ref="A34:C34"/>
    <mergeCell ref="A29:C29"/>
    <mergeCell ref="A4:C4"/>
    <mergeCell ref="A2:C2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2026-09-03T18:20:06Z</dcterms:created>
  <dcterms:modified xmlns:dcterms="http://purl.org/dc/terms/" xmlns:xsi="http://www.w3.org/2001/XMLSchema-instance" xsi:type="dcterms:W3CDTF">2026-09-03T18:20:06Z</dcterms:modified>
</cp:coreProperties>
</file>