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r Square Detail" sheetId="2" state="visible" r:id="rId2"/>
    <sheet xmlns:r="http://schemas.openxmlformats.org/officeDocument/2006/relationships" name="Margin Curve" sheetId="3" state="visible" r:id="rId3"/>
    <sheet xmlns:r="http://schemas.openxmlformats.org/officeDocument/2006/relationships" name="Job Value Distribution" sheetId="4" state="visible" r:id="rId4"/>
    <sheet xmlns:r="http://schemas.openxmlformats.org/officeDocument/2006/relationships" name="Measured Margin" sheetId="5" state="visible" r:id="rId5"/>
    <sheet xmlns:r="http://schemas.openxmlformats.org/officeDocument/2006/relationships" name="Close Rate" sheetId="6" state="visible" r:id="rId6"/>
    <sheet xmlns:r="http://schemas.openxmlformats.org/officeDocument/2006/relationships" name="Data Quality" sheetId="7" state="visible" r:id="rId7"/>
  </sheets>
  <definedNames/>
  <calcPr calcId="124519" fullCalcOnLoad="1"/>
</workbook>
</file>

<file path=xl/styles.xml><?xml version="1.0" encoding="utf-8"?>
<styleSheet xmlns="http://schemas.openxmlformats.org/spreadsheetml/2006/main">
  <numFmts count="3">
    <numFmt numFmtId="164" formatCode="&quot;$&quot;#,##0"/>
    <numFmt numFmtId="165" formatCode="#,##0.0"/>
    <numFmt numFmtId="166" formatCode="0.0%"/>
  </numFmts>
  <fonts count="17">
    <font>
      <name val="Calibri"/>
      <family val="2"/>
      <color theme="1"/>
      <sz val="11"/>
      <scheme val="minor"/>
    </font>
    <font>
      <name val="Calibri"/>
      <b val="1"/>
      <color rgb="001A3C6E"/>
      <sz val="15"/>
    </font>
    <font>
      <name val="Calibri"/>
      <b val="1"/>
      <color rgb="001A3C6E"/>
      <sz val="11"/>
    </font>
    <font>
      <name val="Calibri"/>
      <i val="1"/>
      <color rgb="00555555"/>
      <sz val="9"/>
    </font>
    <font>
      <name val="Calibri"/>
      <b val="1"/>
      <color rgb="00333333"/>
      <sz val="10"/>
    </font>
    <font>
      <name val="Calibri"/>
      <b val="1"/>
      <color rgb="001A3C6E"/>
      <sz val="20"/>
    </font>
    <font>
      <b val="1"/>
      <color rgb="001A3C6E"/>
      <sz val="12"/>
    </font>
    <font>
      <b val="1"/>
      <color rgb="001A3C6E"/>
      <sz val="11"/>
    </font>
    <font>
      <b val="1"/>
      <color rgb="00B00000"/>
      <sz val="13"/>
    </font>
    <font>
      <name val="Calibri"/>
      <b val="1"/>
      <color rgb="00FFFFFF"/>
      <sz val="10"/>
    </font>
    <font>
      <b val="1"/>
      <color rgb="009C6500"/>
      <sz val="11"/>
    </font>
    <font>
      <name val="Calibri"/>
      <color rgb="00222222"/>
      <sz val="10"/>
    </font>
    <font>
      <b val="1"/>
      <color rgb="00B00000"/>
      <sz val="11"/>
    </font>
    <font>
      <b val="1"/>
      <color rgb="001A3C6E"/>
    </font>
    <font>
      <name val="Calibri"/>
      <color rgb="00B00000"/>
      <sz val="10"/>
    </font>
    <font>
      <name val="Calibri"/>
      <color rgb="00555555"/>
      <sz val="10"/>
    </font>
    <font/>
  </fonts>
  <fills count="4">
    <fill>
      <patternFill/>
    </fill>
    <fill>
      <patternFill patternType="gray125"/>
    </fill>
    <fill>
      <patternFill patternType="solid">
        <fgColor rgb="001A3C6E"/>
      </patternFill>
    </fill>
    <fill>
      <patternFill patternType="solid">
        <fgColor rgb="00F2F2F2"/>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164"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center" wrapText="1"/>
    </xf>
    <xf numFmtId="0" fontId="0" fillId="0" borderId="1" pivotButton="0" quotePrefix="0" xfId="0"/>
    <xf numFmtId="164" fontId="0" fillId="0" borderId="1" pivotButton="0" quotePrefix="0" xfId="0"/>
    <xf numFmtId="0" fontId="3" fillId="0" borderId="1" pivotButton="0" quotePrefix="0" xfId="0"/>
    <xf numFmtId="0" fontId="10" fillId="0" borderId="0" pivotButton="0" quotePrefix="0" xfId="0"/>
    <xf numFmtId="0" fontId="11" fillId="0" borderId="0" pivotButton="0" quotePrefix="0" xfId="0"/>
    <xf numFmtId="0" fontId="12" fillId="0" borderId="0" pivotButton="0" quotePrefix="0" xfId="0"/>
    <xf numFmtId="165" fontId="0" fillId="0" borderId="1" pivotButton="0" quotePrefix="0" xfId="0"/>
    <xf numFmtId="0" fontId="0" fillId="3" borderId="1" pivotButton="0" quotePrefix="0" xfId="0"/>
    <xf numFmtId="165" fontId="0" fillId="3" borderId="1" pivotButton="0" quotePrefix="0" xfId="0"/>
    <xf numFmtId="164" fontId="0" fillId="3" borderId="1" pivotButton="0" quotePrefix="0" xfId="0"/>
    <xf numFmtId="0" fontId="3" fillId="3" borderId="1" pivotButton="0" quotePrefix="0" xfId="0"/>
    <xf numFmtId="164" fontId="13" fillId="0" borderId="0" pivotButton="0" quotePrefix="0" xfId="0"/>
    <xf numFmtId="166" fontId="0" fillId="0" borderId="1" pivotButton="0" quotePrefix="0" xfId="0"/>
    <xf numFmtId="166" fontId="13"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9" fillId="2" borderId="1" applyAlignment="1" pivotButton="0" quotePrefix="0" xfId="0">
      <alignment horizontal="center" wrapText="1"/>
    </xf>
    <xf numFmtId="0" fontId="4" fillId="0" borderId="1" pivotButton="0" quotePrefix="0" xfId="0"/>
    <xf numFmtId="0" fontId="13" fillId="0" borderId="1" pivotButton="0" quotePrefix="0" xfId="0"/>
    <xf numFmtId="0" fontId="3" fillId="0" borderId="1" applyAlignment="1" pivotButton="0" quotePrefix="0" xfId="0">
      <alignment vertical="top" wrapText="1"/>
    </xf>
    <xf numFmtId="0" fontId="0" fillId="0" borderId="1" applyAlignment="1" pivotButton="0" quotePrefix="0" xfId="0">
      <alignment vertical="top" wrapText="1"/>
    </xf>
    <xf numFmtId="0" fontId="16"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Revenue/sq and Material/sq vs Roof Size</a:t>
            </a:r>
          </a:p>
        </rich>
      </tx>
    </title>
    <plotArea>
      <scatterChart>
        <ser>
          <idx val="0"/>
          <order val="0"/>
          <tx>
            <strRef>
              <f>'Margin Curve'!D4</f>
            </strRef>
          </tx>
          <spPr>
            <a:ln xmlns:a="http://schemas.openxmlformats.org/drawingml/2006/main">
              <a:noFill/>
              <a:prstDash val="solid"/>
            </a:ln>
          </spPr>
          <marker>
            <symbol val="circle"/>
            <size val="7"/>
            <spPr>
              <a:ln xmlns:a="http://schemas.openxmlformats.org/drawingml/2006/main">
                <a:prstDash val="solid"/>
              </a:ln>
            </spPr>
          </marker>
          <xVal>
            <numRef>
              <f>'Margin Curve'!$C$5:$C$27</f>
            </numRef>
          </xVal>
          <yVal>
            <numRef>
              <f>'Margin Curve'!$D$5:$D$27</f>
            </numRef>
          </yVal>
        </ser>
        <ser>
          <idx val="1"/>
          <order val="1"/>
          <tx>
            <strRef>
              <f>'Margin Curve'!E4</f>
            </strRef>
          </tx>
          <spPr>
            <a:ln xmlns:a="http://schemas.openxmlformats.org/drawingml/2006/main">
              <a:noFill/>
              <a:prstDash val="solid"/>
            </a:ln>
          </spPr>
          <marker>
            <symbol val="circle"/>
            <size val="7"/>
            <spPr>
              <a:ln xmlns:a="http://schemas.openxmlformats.org/drawingml/2006/main">
                <a:prstDash val="solid"/>
              </a:ln>
            </spPr>
          </marker>
          <xVal>
            <numRef>
              <f>'Margin Curve'!$C$5:$C$27</f>
            </numRef>
          </xVal>
          <yVal>
            <numRef>
              <f>'Margin Curve'!$E$5:$E$27</f>
            </numRef>
          </yVal>
        </ser>
        <ser>
          <idx val="2"/>
          <order val="2"/>
          <tx>
            <strRef>
              <f>'Margin Curve'!F4</f>
            </strRef>
          </tx>
          <spPr>
            <a:ln xmlns:a="http://schemas.openxmlformats.org/drawingml/2006/main">
              <a:noFill/>
              <a:prstDash val="solid"/>
            </a:ln>
          </spPr>
          <marker>
            <symbol val="circle"/>
            <size val="7"/>
            <spPr>
              <a:ln xmlns:a="http://schemas.openxmlformats.org/drawingml/2006/main">
                <a:prstDash val="solid"/>
              </a:ln>
            </spPr>
          </marker>
          <xVal>
            <numRef>
              <f>'Margin Curve'!$C$5:$C$27</f>
            </numRef>
          </xVal>
          <yVal>
            <numRef>
              <f>'Margin Curve'!$F$5:$F$27</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Roof size (squares)</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Dollars per square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3</row>
      <rowOff>0</rowOff>
    </from>
    <ext cx="792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E51"/>
  <sheetViews>
    <sheetView showGridLines="0" workbookViewId="0">
      <selection activeCell="A1" sqref="A1"/>
    </sheetView>
  </sheetViews>
  <sheetFormatPr baseColWidth="8" defaultRowHeight="15"/>
  <cols>
    <col width="3" customWidth="1" min="1" max="1"/>
    <col width="22" customWidth="1" min="2" max="2"/>
    <col width="22" customWidth="1" min="3" max="3"/>
    <col width="22" customWidth="1" min="4" max="4"/>
    <col width="22" customWidth="1" min="5" max="5"/>
    <col width="22" customWidth="1" min="6" max="6"/>
  </cols>
  <sheetData>
    <row r="2">
      <c r="B2" s="1" t="inlineStr">
        <is>
          <t>Top Tier Roofing &amp; Remodeling</t>
        </is>
      </c>
    </row>
    <row r="3">
      <c r="B3" s="2" t="inlineStr">
        <is>
          <t>Pricing / Dollars-per-Square Analysis</t>
        </is>
      </c>
    </row>
    <row r="4">
      <c r="B4" s="3" t="inlineStr">
        <is>
          <t>Prepared 2026-09-04  |  Albertville, MN  |  CRM data pulled live 2026-09-04 08:49:01</t>
        </is>
      </c>
    </row>
    <row r="5">
      <c r="B5" s="3" t="inlineStr">
        <is>
          <t>Replaces the 2026-09-02 edition, which classified jobs on a job-status snapshot taken 2026-08-25. 21 of 84 jobs have changed status since.</t>
        </is>
      </c>
    </row>
    <row r="7">
      <c r="B7" s="2" t="inlineStr">
        <is>
          <t>THE TWO NUMBERS THE MARKETING BUDGET NEEDS</t>
        </is>
      </c>
    </row>
    <row r="8">
      <c r="B8" s="4" t="inlineStr">
        <is>
          <t>Average job value</t>
        </is>
      </c>
      <c r="C8" s="5" t="n">
        <v>29906.598125</v>
      </c>
      <c r="D8" s="6" t="inlineStr">
        <is>
          <t>Median $21,245</t>
        </is>
      </c>
    </row>
    <row r="9">
      <c r="C9" s="3" t="inlineStr">
        <is>
          <t>mean of 80 sold jobs; the $799,537 commercial job 24026 is held out as an outlier</t>
        </is>
      </c>
    </row>
    <row r="10">
      <c r="B10" s="4" t="inlineStr">
        <is>
          <t>Spread</t>
        </is>
      </c>
      <c r="C10" s="6" t="inlineStr">
        <is>
          <t>$925 - $178,015</t>
        </is>
      </c>
      <c r="D10" s="3" t="inlineStr">
        <is>
          <t>one job per row, no averaging</t>
        </is>
      </c>
    </row>
    <row r="11">
      <c r="B11" s="4" t="inlineStr">
        <is>
          <t>Change since 2026-09-02</t>
        </is>
      </c>
      <c r="C11" s="7" t="inlineStr">
        <is>
          <t>Mean $31,705 -&gt; $29,907   Median $22,077 -&gt; $21,245</t>
        </is>
      </c>
    </row>
    <row r="12">
      <c r="C12" s="3" t="inlineStr">
        <is>
          <t>77 sold jobs -&gt; 80. Three jobs signed 2026-09-01 joined the book; three older contracts were revised down. Detail on the Data Quality tab.</t>
        </is>
      </c>
    </row>
    <row r="14">
      <c r="B14" s="4" t="inlineStr">
        <is>
          <t>Close rate</t>
        </is>
      </c>
      <c r="C14" s="8" t="inlineStr">
        <is>
          <t>Still CANNOT be computed</t>
        </is>
      </c>
    </row>
    <row r="15">
      <c r="C15" s="3" t="inlineStr">
        <is>
          <t>83 of the 88 numbered jobs came in by referral. There is no marketing-driven lead funnel to measure</t>
        </is>
      </c>
    </row>
    <row r="16">
      <c r="C16" s="3" t="inlineStr">
        <is>
          <t>against, and the job book holds work that was won, not the bids that lost. See the Close Rate tab.</t>
        </is>
      </c>
    </row>
    <row r="18">
      <c r="B18" s="2" t="inlineStr">
        <is>
          <t>AVERAGE JOB VALUE BY CHANNEL (sold jobs, outlier held out)</t>
        </is>
      </c>
    </row>
    <row r="19">
      <c r="B19" s="9" t="inlineStr">
        <is>
          <t>Channel</t>
        </is>
      </c>
      <c r="C19" s="9" t="inlineStr">
        <is>
          <t>Jobs</t>
        </is>
      </c>
      <c r="D19" s="9" t="inlineStr">
        <is>
          <t>Mean</t>
        </is>
      </c>
      <c r="E19" s="9" t="inlineStr">
        <is>
          <t>Median</t>
        </is>
      </c>
    </row>
    <row r="20">
      <c r="B20" s="10" t="inlineStr">
        <is>
          <t>All sold jobs</t>
        </is>
      </c>
      <c r="C20" s="10" t="n">
        <v>80</v>
      </c>
      <c r="D20" s="11" t="n">
        <v>29906.598125</v>
      </c>
      <c r="E20" s="11" t="n">
        <v>21244.935</v>
      </c>
    </row>
    <row r="21">
      <c r="B21" s="10" t="inlineStr">
        <is>
          <t>Retail</t>
        </is>
      </c>
      <c r="C21" s="10" t="n">
        <v>33</v>
      </c>
      <c r="D21" s="11" t="n">
        <v>18090.29818181818</v>
      </c>
      <c r="E21" s="11" t="n">
        <v>11083.4</v>
      </c>
    </row>
    <row r="22">
      <c r="B22" s="10" t="inlineStr">
        <is>
          <t>Insurance</t>
        </is>
      </c>
      <c r="C22" s="10" t="n">
        <v>47</v>
      </c>
      <c r="D22" s="11" t="n">
        <v>38203.14914893617</v>
      </c>
      <c r="E22" s="11" t="n">
        <v>26951.05</v>
      </c>
    </row>
    <row r="24">
      <c r="B24" s="3" t="inlineStr">
        <is>
          <t>Marketing that generates NEW retail leads should size to the retail line (~$18,090 mean, $11,083 median),</t>
        </is>
      </c>
    </row>
    <row r="25">
      <c r="B25" s="3" t="inlineStr">
        <is>
          <t>not the insurance-inflated blend. Insurance work arrives by referral after a storm.</t>
        </is>
      </c>
    </row>
    <row r="27">
      <c r="B27" s="2" t="inlineStr">
        <is>
          <t>THE PER-SQUARE PICTURE (26 jobs carry a verified square count)</t>
        </is>
      </c>
    </row>
    <row r="28">
      <c r="B28" s="9" t="inlineStr">
        <is>
          <t>Per-square metric</t>
        </is>
      </c>
      <c r="C28" s="9" t="inlineStr">
        <is>
          <t>Median</t>
        </is>
      </c>
      <c r="D28" s="9" t="inlineStr">
        <is>
          <t>Range</t>
        </is>
      </c>
      <c r="E28" s="9" t="inlineStr">
        <is>
          <t>Basis</t>
        </is>
      </c>
    </row>
    <row r="29">
      <c r="B29" s="10" t="inlineStr">
        <is>
          <t>Material cost / square</t>
        </is>
      </c>
      <c r="C29" s="10" t="inlineStr">
        <is>
          <t>$180</t>
        </is>
      </c>
      <c r="D29" s="10" t="inlineStr">
        <is>
          <t>$165 - $226</t>
        </is>
      </c>
      <c r="E29" s="12" t="inlineStr">
        <is>
          <t>measured; 18 roofing-only jobs of 4+ squares</t>
        </is>
      </c>
    </row>
    <row r="30">
      <c r="B30" s="10" t="inlineStr">
        <is>
          <t>Revenue / square, retail roofing</t>
        </is>
      </c>
      <c r="C30" s="10" t="inlineStr">
        <is>
          <t>$542</t>
        </is>
      </c>
      <c r="D30" s="10" t="inlineStr">
        <is>
          <t>$415 - $872</t>
        </is>
      </c>
      <c r="E30" s="12" t="inlineStr">
        <is>
          <t>measured; 6 jobs - the real pricing lever</t>
        </is>
      </c>
    </row>
    <row r="31">
      <c r="B31" s="10" t="inlineStr">
        <is>
          <t>Revenue / square, all trades</t>
        </is>
      </c>
      <c r="C31" s="10" t="inlineStr">
        <is>
          <t>$775</t>
        </is>
      </c>
      <c r="D31" s="10" t="inlineStr">
        <is>
          <t>$415 - $2,411</t>
        </is>
      </c>
      <c r="E31" s="12" t="inlineStr">
        <is>
          <t>measured; 23 jobs of 4+ squares. Inflated where a job carries siding or a full claim</t>
        </is>
      </c>
    </row>
    <row r="32">
      <c r="B32" s="10" t="inlineStr">
        <is>
          <t>Labor cost / square</t>
        </is>
      </c>
      <c r="C32" s="10" t="inlineStr">
        <is>
          <t>no data</t>
        </is>
      </c>
      <c r="D32" s="10" t="inlineStr">
        <is>
          <t>-</t>
        </is>
      </c>
      <c r="E32" s="12" t="inlineStr">
        <is>
          <t>CANNOT be computed - see the gap note below</t>
        </is>
      </c>
    </row>
    <row r="35">
      <c r="B35" s="13" t="inlineStr">
        <is>
          <t>THE BLUNT READ</t>
        </is>
      </c>
    </row>
    <row r="36">
      <c r="B36" s="14" t="inlineStr">
        <is>
          <t>1. Material cost is a known constant: about $180 per square, every roof, whether the job is $10k or $60k.</t>
        </is>
      </c>
    </row>
    <row r="37">
      <c r="B37" s="14" t="inlineStr">
        <is>
          <t xml:space="preserve">   That is the one number in this business they control outright and can quote from.</t>
        </is>
      </c>
    </row>
    <row r="38">
      <c r="B38" s="14" t="inlineStr">
        <is>
          <t>2. On retail roofing - the field they DO price - the floor is $415 to $434 per square on the bigger roofs</t>
        </is>
      </c>
    </row>
    <row r="39">
      <c r="B39" s="14" t="inlineStr">
        <is>
          <t xml:space="preserve">   (29-57 squares). Smaller roofs run $650-$872 per square because fixed accessories and</t>
        </is>
      </c>
    </row>
    <row r="40">
      <c r="B40" s="14" t="inlineStr">
        <is>
          <t xml:space="preserve">   mobilization do not shrink with the roof.</t>
        </is>
      </c>
    </row>
    <row r="41">
      <c r="B41" s="14" t="inlineStr">
        <is>
          <t>3. At $415/sq revenue minus $180/sq material, a large retail roof leaves about $235/sq to cover labor,</t>
        </is>
      </c>
    </row>
    <row r="42">
      <c r="B42" s="14" t="inlineStr">
        <is>
          <t xml:space="preserve">   overhead and profit. Whether that is a good price or a giveaway depends on labor per square - which has never been recorded.</t>
        </is>
      </c>
    </row>
    <row r="43">
      <c r="B43" s="14" t="inlineStr">
        <is>
          <t>4. Insurance revenue per square looks large ($879 median, up to $2,411) only because the claim pays for</t>
        </is>
      </c>
    </row>
    <row r="44">
      <c r="B44" s="14" t="inlineStr">
        <is>
          <t xml:space="preserve">   siding, gutters, code and overhead-and-profit - not because the roof is priced better. Do not read insurance $/sq as a pricing win.</t>
        </is>
      </c>
    </row>
    <row r="46">
      <c r="B46" s="15" t="inlineStr">
        <is>
          <t>THE GAP THAT BLOCKS A TRUE MARGIN CURVE</t>
        </is>
      </c>
    </row>
    <row r="47">
      <c r="B47" s="14" t="inlineStr">
        <is>
          <t>The 8 jobs with a real captured LABOR cost and the 26 jobs with a real SQUARE count are still completely separate sets.</t>
        </is>
      </c>
    </row>
    <row r="48">
      <c r="B48" s="14" t="inlineStr">
        <is>
          <t>Overlap: 0 jobs. So a true revenue/sq minus material/sq minus labor/sq curve cannot be drawn for any single job.</t>
        </is>
      </c>
    </row>
    <row r="49">
      <c r="B49" s="14" t="inlineStr">
        <is>
          <t>The live CRM confirms why: work orders carry labor-cost fields, and of 70 work orders pulled 2026-09-04, 1 carries an estimated labor cost and 0 carry an actual one.</t>
        </is>
      </c>
    </row>
    <row r="50">
      <c r="B50" s="14" t="inlineStr">
        <is>
          <t>What this workbook CAN show: real revenue/sq and real material/sq, plus job-level gross margin on the 8 costed jobs.</t>
        </is>
      </c>
    </row>
    <row r="51">
      <c r="B51" s="14" t="inlineStr">
        <is>
          <t>To close the gap, labor hours or labor dollars and the square count have to be captured on the SAME job, on the work order, going forward.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8"/>
  <sheetViews>
    <sheetView showGridLines="0" workbookViewId="0">
      <selection activeCell="A1" sqref="A1"/>
    </sheetView>
  </sheetViews>
  <sheetFormatPr baseColWidth="8" defaultRowHeight="15"/>
  <cols>
    <col width="9" customWidth="1" min="1" max="1"/>
    <col width="14" customWidth="1" min="2" max="2"/>
    <col width="11" customWidth="1" min="3" max="3"/>
    <col width="17" customWidth="1" min="4" max="4"/>
    <col width="17" customWidth="1" min="5" max="5"/>
    <col width="15" customWidth="1" min="6" max="6"/>
    <col width="15" customWidth="1" min="7" max="7"/>
    <col width="13" customWidth="1" min="8" max="8"/>
    <col width="15" customWidth="1" min="9" max="9"/>
    <col width="12" customWidth="1" min="10" max="10"/>
    <col width="20" customWidth="1" min="11" max="11"/>
    <col width="15" customWidth="1" min="12" max="12"/>
    <col width="60" customWidth="1" min="13" max="13"/>
  </cols>
  <sheetData>
    <row r="1">
      <c r="A1" s="1" t="inlineStr">
        <is>
          <t>Per-Job Dollars-per-Square (26 jobs with a verified shingle square count)</t>
        </is>
      </c>
    </row>
    <row r="2">
      <c r="A2" s="3" t="inlineStr">
        <is>
          <t>Revenue = sold amount, live CRM 2026-09-04. Material $ = sum of material-order estimates, live CRM 2026-09-04. Contribution after material = revenue minus material; labor is NOT included.</t>
        </is>
      </c>
    </row>
    <row r="4">
      <c r="A4" s="9" t="inlineStr">
        <is>
          <t>CRM Job</t>
        </is>
      </c>
      <c r="B4" s="9" t="inlineStr">
        <is>
          <t>City</t>
        </is>
      </c>
      <c r="C4" s="9" t="inlineStr">
        <is>
          <t>Channel</t>
        </is>
      </c>
      <c r="D4" s="9" t="inlineStr">
        <is>
          <t>Trade</t>
        </is>
      </c>
      <c r="E4" s="9" t="inlineStr">
        <is>
          <t>Job Status</t>
        </is>
      </c>
      <c r="F4" s="9" t="inlineStr">
        <is>
          <t>Squares (shingle)</t>
        </is>
      </c>
      <c r="G4" s="9" t="inlineStr">
        <is>
          <t>Revenue (sold $)</t>
        </is>
      </c>
      <c r="H4" s="9" t="inlineStr">
        <is>
          <t>Revenue / sq</t>
        </is>
      </c>
      <c r="I4" s="9" t="inlineStr">
        <is>
          <t>Material order $</t>
        </is>
      </c>
      <c r="J4" s="9" t="inlineStr">
        <is>
          <t>Material / sq</t>
        </is>
      </c>
      <c r="K4" s="9" t="inlineStr">
        <is>
          <t>Contribution after material $</t>
        </is>
      </c>
      <c r="L4" s="9" t="inlineStr">
        <is>
          <t>Contribution / sq</t>
        </is>
      </c>
      <c r="M4" s="9" t="inlineStr">
        <is>
          <t>Note</t>
        </is>
      </c>
    </row>
    <row r="5">
      <c r="A5" s="10" t="inlineStr">
        <is>
          <t>24036</t>
        </is>
      </c>
      <c r="B5" s="10" t="inlineStr">
        <is>
          <t>Monticello</t>
        </is>
      </c>
      <c r="C5" s="10" t="inlineStr">
        <is>
          <t>Retail</t>
        </is>
      </c>
      <c r="D5" s="10" t="inlineStr">
        <is>
          <t>Roofing</t>
        </is>
      </c>
      <c r="E5" s="10" t="inlineStr">
        <is>
          <t>Closed - Complete</t>
        </is>
      </c>
      <c r="F5" s="16" t="n">
        <v>37</v>
      </c>
      <c r="G5" s="11" t="n">
        <v>15352.71</v>
      </c>
      <c r="H5" s="11" t="n">
        <v>414.9381081081081</v>
      </c>
      <c r="I5" s="11" t="n">
        <v>6549.35</v>
      </c>
      <c r="J5" s="11" t="n">
        <v>177.0094594594595</v>
      </c>
      <c r="K5" s="11" t="n">
        <v>8803.359999999999</v>
      </c>
      <c r="L5" s="11" t="n">
        <v>237.9286486486486</v>
      </c>
      <c r="M5" s="12" t="inlineStr"/>
    </row>
    <row r="6">
      <c r="A6" s="17" t="inlineStr">
        <is>
          <t>24032</t>
        </is>
      </c>
      <c r="B6" s="17" t="inlineStr">
        <is>
          <t>St Michael</t>
        </is>
      </c>
      <c r="C6" s="17" t="inlineStr">
        <is>
          <t>Retail</t>
        </is>
      </c>
      <c r="D6" s="17" t="inlineStr">
        <is>
          <t>Roofing</t>
        </is>
      </c>
      <c r="E6" s="17" t="inlineStr">
        <is>
          <t>Closed - Complete</t>
        </is>
      </c>
      <c r="F6" s="18" t="n">
        <v>29</v>
      </c>
      <c r="G6" s="19" t="n">
        <v>12548.36</v>
      </c>
      <c r="H6" s="19" t="n">
        <v>432.7020689655172</v>
      </c>
      <c r="I6" s="19" t="n">
        <v>5189.97</v>
      </c>
      <c r="J6" s="19" t="n">
        <v>178.9644827586207</v>
      </c>
      <c r="K6" s="19" t="n">
        <v>7358.39</v>
      </c>
      <c r="L6" s="19" t="n">
        <v>253.7375862068966</v>
      </c>
      <c r="M6" s="20" t="inlineStr">
        <is>
          <t>status moved Production -&gt; Closed - Complete</t>
        </is>
      </c>
    </row>
    <row r="7">
      <c r="A7" s="10" t="inlineStr">
        <is>
          <t>24067</t>
        </is>
      </c>
      <c r="B7" s="10" t="inlineStr">
        <is>
          <t>Tower</t>
        </is>
      </c>
      <c r="C7" s="10" t="inlineStr">
        <is>
          <t>Retail</t>
        </is>
      </c>
      <c r="D7" s="10" t="inlineStr">
        <is>
          <t>Roofing</t>
        </is>
      </c>
      <c r="E7" s="10" t="inlineStr">
        <is>
          <t>Closed - Complete</t>
        </is>
      </c>
      <c r="F7" s="16" t="n">
        <v>56.66</v>
      </c>
      <c r="G7" s="11" t="n">
        <v>24588.71</v>
      </c>
      <c r="H7" s="11" t="n">
        <v>433.9694669961172</v>
      </c>
      <c r="I7" s="11" t="n">
        <v>9370.809999999999</v>
      </c>
      <c r="J7" s="11" t="n">
        <v>165.3866925520649</v>
      </c>
      <c r="K7" s="11" t="n">
        <v>15217.9</v>
      </c>
      <c r="L7" s="11" t="n">
        <v>268.5827744440522</v>
      </c>
      <c r="M7" s="12" t="inlineStr"/>
    </row>
    <row r="8">
      <c r="A8" s="17" t="inlineStr">
        <is>
          <t>24040</t>
        </is>
      </c>
      <c r="B8" s="17" t="inlineStr">
        <is>
          <t>Otsego</t>
        </is>
      </c>
      <c r="C8" s="17" t="inlineStr">
        <is>
          <t>Retail</t>
        </is>
      </c>
      <c r="D8" s="17" t="inlineStr">
        <is>
          <t>RoofingAndSiding</t>
        </is>
      </c>
      <c r="E8" s="17" t="inlineStr">
        <is>
          <t>Closed - Complete</t>
        </is>
      </c>
      <c r="F8" s="18" t="n">
        <v>4.66</v>
      </c>
      <c r="G8" s="19" t="n">
        <v>2058.04</v>
      </c>
      <c r="H8" s="19" t="n">
        <v>441.6394849785407</v>
      </c>
      <c r="I8" s="19" t="n">
        <v>1065.74</v>
      </c>
      <c r="J8" s="19" t="n">
        <v>228.6995708154506</v>
      </c>
      <c r="K8" s="19" t="n">
        <v>992.3</v>
      </c>
      <c r="L8" s="19" t="n">
        <v>212.9399141630901</v>
      </c>
      <c r="M8" s="20" t="inlineStr">
        <is>
          <t>revenue and material include siding, not roof-only</t>
        </is>
      </c>
    </row>
    <row r="9">
      <c r="A9" s="10" t="inlineStr">
        <is>
          <t>24051</t>
        </is>
      </c>
      <c r="B9" s="10" t="inlineStr">
        <is>
          <t>Otsego</t>
        </is>
      </c>
      <c r="C9" s="10" t="inlineStr">
        <is>
          <t>Insurance</t>
        </is>
      </c>
      <c r="D9" s="10" t="inlineStr">
        <is>
          <t>Roofing</t>
        </is>
      </c>
      <c r="E9" s="10" t="inlineStr">
        <is>
          <t>Closed - Complete</t>
        </is>
      </c>
      <c r="F9" s="16" t="n">
        <v>56</v>
      </c>
      <c r="G9" s="11" t="n">
        <v>31510</v>
      </c>
      <c r="H9" s="11" t="n">
        <v>562.6785714285714</v>
      </c>
      <c r="I9" s="11" t="n">
        <v>11247.84</v>
      </c>
      <c r="J9" s="11" t="n">
        <v>200.8542857142857</v>
      </c>
      <c r="K9" s="11" t="n">
        <v>20262.16</v>
      </c>
      <c r="L9" s="11" t="n">
        <v>361.8242857142857</v>
      </c>
      <c r="M9" s="12" t="inlineStr">
        <is>
          <t>status moved Inspection/Demo -&gt; Closed - Complete</t>
        </is>
      </c>
    </row>
    <row r="10">
      <c r="A10" s="17" t="inlineStr">
        <is>
          <t>24024</t>
        </is>
      </c>
      <c r="B10" s="17" t="inlineStr">
        <is>
          <t>St Michael</t>
        </is>
      </c>
      <c r="C10" s="17" t="inlineStr">
        <is>
          <t>Insurance</t>
        </is>
      </c>
      <c r="D10" s="17" t="inlineStr">
        <is>
          <t>Roofing</t>
        </is>
      </c>
      <c r="E10" s="17" t="inlineStr">
        <is>
          <t>Closed - Complete</t>
        </is>
      </c>
      <c r="F10" s="18" t="n">
        <v>33.33</v>
      </c>
      <c r="G10" s="19" t="n">
        <v>21402.87</v>
      </c>
      <c r="H10" s="19" t="n">
        <v>642.1503150315032</v>
      </c>
      <c r="I10" s="19" t="n">
        <v>6381.58</v>
      </c>
      <c r="J10" s="19" t="n">
        <v>191.4665466546655</v>
      </c>
      <c r="K10" s="19" t="n">
        <v>15021.29</v>
      </c>
      <c r="L10" s="19" t="n">
        <v>450.6837683768377</v>
      </c>
      <c r="M10" s="20" t="inlineStr"/>
    </row>
    <row r="11">
      <c r="A11" s="10" t="inlineStr">
        <is>
          <t>24025</t>
        </is>
      </c>
      <c r="B11" s="10" t="inlineStr">
        <is>
          <t>Manhattan Beach</t>
        </is>
      </c>
      <c r="C11" s="10" t="inlineStr">
        <is>
          <t>Retail</t>
        </is>
      </c>
      <c r="D11" s="10" t="inlineStr">
        <is>
          <t>Roofing</t>
        </is>
      </c>
      <c r="E11" s="10" t="inlineStr">
        <is>
          <t>Closed - Complete</t>
        </is>
      </c>
      <c r="F11" s="16" t="n">
        <v>20</v>
      </c>
      <c r="G11" s="11" t="n">
        <v>12996.42</v>
      </c>
      <c r="H11" s="11" t="n">
        <v>649.821</v>
      </c>
      <c r="I11" s="11" t="n">
        <v>3616.35</v>
      </c>
      <c r="J11" s="11" t="n">
        <v>180.8175</v>
      </c>
      <c r="K11" s="11" t="n">
        <v>9380.07</v>
      </c>
      <c r="L11" s="11" t="n">
        <v>469.0035</v>
      </c>
      <c r="M11" s="12" t="inlineStr"/>
    </row>
    <row r="12">
      <c r="A12" s="17" t="inlineStr">
        <is>
          <t>24077</t>
        </is>
      </c>
      <c r="B12" s="17" t="inlineStr">
        <is>
          <t>Ogilvie</t>
        </is>
      </c>
      <c r="C12" s="17" t="inlineStr">
        <is>
          <t>Retail</t>
        </is>
      </c>
      <c r="D12" s="17" t="inlineStr">
        <is>
          <t>Roofing</t>
        </is>
      </c>
      <c r="E12" s="17" t="inlineStr">
        <is>
          <t>Production</t>
        </is>
      </c>
      <c r="F12" s="18" t="n">
        <v>17</v>
      </c>
      <c r="G12" s="19" t="n">
        <v>11083.4</v>
      </c>
      <c r="H12" s="19" t="n">
        <v>651.964705882353</v>
      </c>
      <c r="I12" s="19" t="n">
        <v>3051.62</v>
      </c>
      <c r="J12" s="19" t="n">
        <v>179.5070588235294</v>
      </c>
      <c r="K12" s="19" t="n">
        <v>8031.78</v>
      </c>
      <c r="L12" s="19" t="n">
        <v>472.4576470588235</v>
      </c>
      <c r="M12" s="20" t="inlineStr"/>
    </row>
    <row r="13">
      <c r="A13" s="10" t="inlineStr">
        <is>
          <t>24016</t>
        </is>
      </c>
      <c r="B13" s="10" t="inlineStr">
        <is>
          <t>Albertville</t>
        </is>
      </c>
      <c r="C13" s="10" t="inlineStr">
        <is>
          <t>Insurance</t>
        </is>
      </c>
      <c r="D13" s="10" t="inlineStr">
        <is>
          <t>Roofing</t>
        </is>
      </c>
      <c r="E13" s="10" t="inlineStr">
        <is>
          <t>Closed - Complete</t>
        </is>
      </c>
      <c r="F13" s="16" t="n">
        <v>36</v>
      </c>
      <c r="G13" s="11" t="n">
        <v>24131.65</v>
      </c>
      <c r="H13" s="11" t="n">
        <v>670.3236111111112</v>
      </c>
      <c r="I13" s="11" t="n">
        <v>6456.79</v>
      </c>
      <c r="J13" s="11" t="n">
        <v>179.3552777777778</v>
      </c>
      <c r="K13" s="11" t="n">
        <v>17674.86</v>
      </c>
      <c r="L13" s="11" t="n">
        <v>490.9683333333334</v>
      </c>
      <c r="M13" s="12" t="inlineStr"/>
    </row>
    <row r="14">
      <c r="A14" s="17" t="inlineStr">
        <is>
          <t>24029</t>
        </is>
      </c>
      <c r="B14" s="17" t="inlineStr">
        <is>
          <t>St Michael</t>
        </is>
      </c>
      <c r="C14" s="17" t="inlineStr">
        <is>
          <t>Insurance</t>
        </is>
      </c>
      <c r="D14" s="17" t="inlineStr">
        <is>
          <t>Roofing</t>
        </is>
      </c>
      <c r="E14" s="17" t="inlineStr">
        <is>
          <t>Closed - Complete</t>
        </is>
      </c>
      <c r="F14" s="18" t="n">
        <v>35.66</v>
      </c>
      <c r="G14" s="19" t="n">
        <v>26951.05</v>
      </c>
      <c r="H14" s="19" t="n">
        <v>755.7781828379137</v>
      </c>
      <c r="I14" s="19" t="n">
        <v>6337.22</v>
      </c>
      <c r="J14" s="19" t="n">
        <v>177.7122826696579</v>
      </c>
      <c r="K14" s="19" t="n">
        <v>20613.83</v>
      </c>
      <c r="L14" s="19" t="n">
        <v>578.0659001682558</v>
      </c>
      <c r="M14" s="20" t="inlineStr">
        <is>
          <t>status moved Inspection/Demo -&gt; Closed - Complete</t>
        </is>
      </c>
    </row>
    <row r="15">
      <c r="A15" s="10" t="inlineStr">
        <is>
          <t>24074</t>
        </is>
      </c>
      <c r="B15" s="10" t="inlineStr">
        <is>
          <t>Buffalo</t>
        </is>
      </c>
      <c r="C15" s="10" t="inlineStr">
        <is>
          <t>Insurance</t>
        </is>
      </c>
      <c r="D15" s="10" t="inlineStr">
        <is>
          <t>Roofing</t>
        </is>
      </c>
      <c r="E15" s="10" t="inlineStr">
        <is>
          <t>Closed - Complete</t>
        </is>
      </c>
      <c r="F15" s="16" t="n">
        <v>62</v>
      </c>
      <c r="G15" s="11" t="n">
        <v>47162.63</v>
      </c>
      <c r="H15" s="11" t="n">
        <v>760.6875806451612</v>
      </c>
      <c r="I15" s="11" t="n">
        <v>11293.89</v>
      </c>
      <c r="J15" s="11" t="n">
        <v>182.1595161290323</v>
      </c>
      <c r="K15" s="11" t="n">
        <v>35868.74</v>
      </c>
      <c r="L15" s="11" t="n">
        <v>578.528064516129</v>
      </c>
      <c r="M15" s="12" t="inlineStr">
        <is>
          <t>status moved Inspection/Demo -&gt; Closed - Complete</t>
        </is>
      </c>
    </row>
    <row r="16">
      <c r="A16" s="17" t="inlineStr">
        <is>
          <t>24013</t>
        </is>
      </c>
      <c r="B16" s="17" t="inlineStr">
        <is>
          <t>St Michael</t>
        </is>
      </c>
      <c r="C16" s="17" t="inlineStr">
        <is>
          <t>Insurance</t>
        </is>
      </c>
      <c r="D16" s="17" t="inlineStr">
        <is>
          <t>Roofing</t>
        </is>
      </c>
      <c r="E16" s="17" t="inlineStr">
        <is>
          <t>Closed - Complete</t>
        </is>
      </c>
      <c r="F16" s="18" t="n">
        <v>36</v>
      </c>
      <c r="G16" s="19" t="n">
        <v>27899.97</v>
      </c>
      <c r="H16" s="19" t="n">
        <v>774.9991666666667</v>
      </c>
      <c r="I16" s="19" t="n">
        <v>6863.67</v>
      </c>
      <c r="J16" s="19" t="n">
        <v>190.6575</v>
      </c>
      <c r="K16" s="19" t="n">
        <v>21036.3</v>
      </c>
      <c r="L16" s="19" t="n">
        <v>584.3416666666667</v>
      </c>
      <c r="M16" s="20" t="inlineStr"/>
    </row>
    <row r="17">
      <c r="A17" s="10" t="inlineStr">
        <is>
          <t>24033</t>
        </is>
      </c>
      <c r="B17" s="10" t="inlineStr">
        <is>
          <t>Big Lake</t>
        </is>
      </c>
      <c r="C17" s="10" t="inlineStr">
        <is>
          <t>Insurance</t>
        </is>
      </c>
      <c r="D17" s="10" t="inlineStr">
        <is>
          <t>Roofing</t>
        </is>
      </c>
      <c r="E17" s="10" t="inlineStr">
        <is>
          <t>Closed - Complete</t>
        </is>
      </c>
      <c r="F17" s="16" t="n">
        <v>31</v>
      </c>
      <c r="G17" s="11" t="n">
        <v>25147.36</v>
      </c>
      <c r="H17" s="11" t="n">
        <v>811.2051612903226</v>
      </c>
      <c r="I17" s="11" t="n">
        <v>5951.74</v>
      </c>
      <c r="J17" s="11" t="n">
        <v>191.9916129032258</v>
      </c>
      <c r="K17" s="11" t="n">
        <v>19195.62</v>
      </c>
      <c r="L17" s="11" t="n">
        <v>619.2135483870968</v>
      </c>
      <c r="M17" s="12" t="inlineStr"/>
    </row>
    <row r="18">
      <c r="A18" s="17" t="inlineStr">
        <is>
          <t>24055</t>
        </is>
      </c>
      <c r="B18" s="17" t="inlineStr">
        <is>
          <t>Minneapolis</t>
        </is>
      </c>
      <c r="C18" s="17" t="inlineStr">
        <is>
          <t>Insurance</t>
        </is>
      </c>
      <c r="D18" s="17" t="inlineStr">
        <is>
          <t>RoofingAndSiding</t>
        </is>
      </c>
      <c r="E18" s="17" t="inlineStr">
        <is>
          <t>Closed - Complete</t>
        </is>
      </c>
      <c r="F18" s="18" t="n">
        <v>27</v>
      </c>
      <c r="G18" s="19" t="n">
        <v>22917.73</v>
      </c>
      <c r="H18" s="19" t="n">
        <v>848.8048148148148</v>
      </c>
      <c r="I18" s="19" t="n">
        <v>4623.71</v>
      </c>
      <c r="J18" s="19" t="n">
        <v>171.2485185185185</v>
      </c>
      <c r="K18" s="19" t="n">
        <v>18294.02</v>
      </c>
      <c r="L18" s="19" t="n">
        <v>677.5562962962963</v>
      </c>
      <c r="M18" s="20" t="inlineStr">
        <is>
          <t>revenue and material include siding, not roof-only; status moved Inspection/Demo -&gt; Closed - Complete</t>
        </is>
      </c>
    </row>
    <row r="19">
      <c r="A19" s="10" t="inlineStr">
        <is>
          <t>24072</t>
        </is>
      </c>
      <c r="B19" s="10" t="inlineStr">
        <is>
          <t>St Paul</t>
        </is>
      </c>
      <c r="C19" s="10" t="inlineStr">
        <is>
          <t>Retail</t>
        </is>
      </c>
      <c r="D19" s="10" t="inlineStr">
        <is>
          <t>Roofing</t>
        </is>
      </c>
      <c r="E19" s="10" t="inlineStr">
        <is>
          <t>Closed - Complete</t>
        </is>
      </c>
      <c r="F19" s="16" t="n">
        <v>11.66</v>
      </c>
      <c r="G19" s="11" t="n">
        <v>10172.83</v>
      </c>
      <c r="H19" s="11" t="n">
        <v>872.4554030874785</v>
      </c>
      <c r="I19" s="11" t="n">
        <v>2635.81</v>
      </c>
      <c r="J19" s="11" t="n">
        <v>226.0557461406518</v>
      </c>
      <c r="K19" s="11" t="n">
        <v>7537.02</v>
      </c>
      <c r="L19" s="11" t="n">
        <v>646.3996569468268</v>
      </c>
      <c r="M19" s="12" t="inlineStr"/>
    </row>
    <row r="20">
      <c r="A20" s="17" t="inlineStr">
        <is>
          <t>24034</t>
        </is>
      </c>
      <c r="B20" s="17" t="inlineStr">
        <is>
          <t>Otsego</t>
        </is>
      </c>
      <c r="C20" s="17" t="inlineStr">
        <is>
          <t>Insurance</t>
        </is>
      </c>
      <c r="D20" s="17" t="inlineStr">
        <is>
          <t>Roofing</t>
        </is>
      </c>
      <c r="E20" s="17" t="inlineStr">
        <is>
          <t>Closed - Complete</t>
        </is>
      </c>
      <c r="F20" s="18" t="n">
        <v>33.66</v>
      </c>
      <c r="G20" s="19" t="n">
        <v>30614.38</v>
      </c>
      <c r="H20" s="19" t="n">
        <v>909.5181224004755</v>
      </c>
      <c r="I20" s="19" t="n">
        <v>6264.81</v>
      </c>
      <c r="J20" s="19" t="n">
        <v>186.120320855615</v>
      </c>
      <c r="K20" s="19" t="n">
        <v>24349.57</v>
      </c>
      <c r="L20" s="19" t="n">
        <v>723.3978015448604</v>
      </c>
      <c r="M20" s="20" t="inlineStr">
        <is>
          <t>status moved Inspection/Demo -&gt; Closed - Complete</t>
        </is>
      </c>
    </row>
    <row r="21">
      <c r="A21" s="10" t="inlineStr">
        <is>
          <t>24019</t>
        </is>
      </c>
      <c r="B21" s="10" t="inlineStr">
        <is>
          <t>St Michael</t>
        </is>
      </c>
      <c r="C21" s="10" t="inlineStr">
        <is>
          <t>Insurance</t>
        </is>
      </c>
      <c r="D21" s="10" t="inlineStr">
        <is>
          <t>RoofingAndSiding</t>
        </is>
      </c>
      <c r="E21" s="10" t="inlineStr">
        <is>
          <t>Closed - Complete</t>
        </is>
      </c>
      <c r="F21" s="16" t="n">
        <v>31</v>
      </c>
      <c r="G21" s="11" t="n">
        <v>29439.43</v>
      </c>
      <c r="H21" s="11" t="n">
        <v>949.6590322580645</v>
      </c>
      <c r="I21" s="11" t="n">
        <v>6158.3</v>
      </c>
      <c r="J21" s="11" t="n">
        <v>198.6548387096774</v>
      </c>
      <c r="K21" s="11" t="n">
        <v>23281.13</v>
      </c>
      <c r="L21" s="11" t="n">
        <v>751.0041935483871</v>
      </c>
      <c r="M21" s="12" t="inlineStr">
        <is>
          <t>revenue and material include siding, not roof-only</t>
        </is>
      </c>
    </row>
    <row r="22">
      <c r="A22" s="17" t="inlineStr">
        <is>
          <t>24047</t>
        </is>
      </c>
      <c r="B22" s="17" t="inlineStr">
        <is>
          <t>St Michael</t>
        </is>
      </c>
      <c r="C22" s="17" t="inlineStr">
        <is>
          <t>Insurance</t>
        </is>
      </c>
      <c r="D22" s="17" t="inlineStr">
        <is>
          <t>Roofing</t>
        </is>
      </c>
      <c r="E22" s="17" t="inlineStr">
        <is>
          <t>Closed - Complete</t>
        </is>
      </c>
      <c r="F22" s="18" t="n">
        <v>36</v>
      </c>
      <c r="G22" s="19" t="n">
        <v>35808.08</v>
      </c>
      <c r="H22" s="19" t="n">
        <v>994.6688888888889</v>
      </c>
      <c r="I22" s="19" t="n">
        <v>6455.38</v>
      </c>
      <c r="J22" s="19" t="n">
        <v>179.3161111111111</v>
      </c>
      <c r="K22" s="19" t="n">
        <v>29352.7</v>
      </c>
      <c r="L22" s="19" t="n">
        <v>815.3527777777778</v>
      </c>
      <c r="M22" s="20" t="inlineStr">
        <is>
          <t>status moved Inspection/Demo -&gt; Closed - Complete</t>
        </is>
      </c>
    </row>
    <row r="23">
      <c r="A23" s="10" t="inlineStr">
        <is>
          <t>24038</t>
        </is>
      </c>
      <c r="B23" s="10" t="inlineStr">
        <is>
          <t>St Michael</t>
        </is>
      </c>
      <c r="C23" s="10" t="inlineStr">
        <is>
          <t>Insurance</t>
        </is>
      </c>
      <c r="D23" s="10" t="inlineStr">
        <is>
          <t>RoofingAndSiding</t>
        </is>
      </c>
      <c r="E23" s="10" t="inlineStr">
        <is>
          <t>Closed - Complete</t>
        </is>
      </c>
      <c r="F23" s="16" t="n">
        <v>22</v>
      </c>
      <c r="G23" s="11" t="n">
        <v>22077.1</v>
      </c>
      <c r="H23" s="11" t="n">
        <v>1003.504545454545</v>
      </c>
      <c r="I23" s="11" t="n">
        <v>4372.73</v>
      </c>
      <c r="J23" s="11" t="n">
        <v>198.7604545454545</v>
      </c>
      <c r="K23" s="11" t="n">
        <v>17704.37</v>
      </c>
      <c r="L23" s="11" t="n">
        <v>804.7440909090909</v>
      </c>
      <c r="M23" s="12" t="inlineStr">
        <is>
          <t>revenue and material include siding, not roof-only; status moved Inspection/Demo -&gt; Closed - Complete</t>
        </is>
      </c>
    </row>
    <row r="24">
      <c r="A24" s="17" t="inlineStr">
        <is>
          <t>24071</t>
        </is>
      </c>
      <c r="B24" s="17" t="inlineStr">
        <is>
          <t>St Michael</t>
        </is>
      </c>
      <c r="C24" s="17" t="inlineStr">
        <is>
          <t>Insurance</t>
        </is>
      </c>
      <c r="D24" s="17" t="inlineStr">
        <is>
          <t>Roofing</t>
        </is>
      </c>
      <c r="E24" s="17" t="inlineStr">
        <is>
          <t>Inspection/Demo</t>
        </is>
      </c>
      <c r="F24" s="18" t="n">
        <v>44</v>
      </c>
      <c r="G24" s="19" t="n">
        <v>60817.04</v>
      </c>
      <c r="H24" s="19" t="n">
        <v>1382.205454545455</v>
      </c>
      <c r="I24" s="19" t="n">
        <v>7695.66</v>
      </c>
      <c r="J24" s="19" t="n">
        <v>174.9013636363636</v>
      </c>
      <c r="K24" s="19" t="n">
        <v>53121.38</v>
      </c>
      <c r="L24" s="19" t="n">
        <v>1207.304090909091</v>
      </c>
      <c r="M24" s="20" t="inlineStr"/>
    </row>
    <row r="25">
      <c r="A25" s="10" t="inlineStr">
        <is>
          <t>24059</t>
        </is>
      </c>
      <c r="B25" s="10" t="inlineStr">
        <is>
          <t>Otsego</t>
        </is>
      </c>
      <c r="C25" s="10" t="inlineStr">
        <is>
          <t>Insurance</t>
        </is>
      </c>
      <c r="D25" s="10" t="inlineStr">
        <is>
          <t>RoofingAndSiding</t>
        </is>
      </c>
      <c r="E25" s="10" t="inlineStr">
        <is>
          <t>Closed - Complete</t>
        </is>
      </c>
      <c r="F25" s="16" t="n">
        <v>51.66</v>
      </c>
      <c r="G25" s="11" t="n">
        <v>77550.27</v>
      </c>
      <c r="H25" s="11" t="n">
        <v>1501.166666666667</v>
      </c>
      <c r="I25" s="11" t="n">
        <v>13831.13</v>
      </c>
      <c r="J25" s="11" t="n">
        <v>267.7338366240805</v>
      </c>
      <c r="K25" s="11" t="n">
        <v>63719.14</v>
      </c>
      <c r="L25" s="11" t="n">
        <v>1233.432830042586</v>
      </c>
      <c r="M25" s="12" t="inlineStr">
        <is>
          <t>revenue and material include siding, not roof-only; status moved Inspection/Demo -&gt; Closed - Complete</t>
        </is>
      </c>
    </row>
    <row r="26">
      <c r="A26" s="17" t="inlineStr">
        <is>
          <t>24022</t>
        </is>
      </c>
      <c r="B26" s="17" t="inlineStr">
        <is>
          <t>St Michael</t>
        </is>
      </c>
      <c r="C26" s="17" t="inlineStr">
        <is>
          <t>Insurance</t>
        </is>
      </c>
      <c r="D26" s="17" t="inlineStr">
        <is>
          <t>RoofingAndSiding</t>
        </is>
      </c>
      <c r="E26" s="17" t="inlineStr">
        <is>
          <t>Closed - Complete</t>
        </is>
      </c>
      <c r="F26" s="18" t="n">
        <v>33</v>
      </c>
      <c r="G26" s="19" t="n">
        <v>56434.96</v>
      </c>
      <c r="H26" s="19" t="n">
        <v>1710.150303030303</v>
      </c>
      <c r="I26" s="19" t="n">
        <v>7530.13</v>
      </c>
      <c r="J26" s="19" t="n">
        <v>228.1857575757576</v>
      </c>
      <c r="K26" s="19" t="n">
        <v>48904.83</v>
      </c>
      <c r="L26" s="19" t="n">
        <v>1481.964545454545</v>
      </c>
      <c r="M26" s="20" t="inlineStr">
        <is>
          <t>revenue and material include siding, not roof-only</t>
        </is>
      </c>
    </row>
    <row r="27">
      <c r="A27" s="10" t="inlineStr">
        <is>
          <t>24068</t>
        </is>
      </c>
      <c r="B27" s="10" t="inlineStr">
        <is>
          <t>Big Lake</t>
        </is>
      </c>
      <c r="C27" s="10" t="inlineStr">
        <is>
          <t>Insurance</t>
        </is>
      </c>
      <c r="D27" s="10" t="inlineStr">
        <is>
          <t>RoofingAndSiding</t>
        </is>
      </c>
      <c r="E27" s="10" t="inlineStr">
        <is>
          <t>Closed - Complete</t>
        </is>
      </c>
      <c r="F27" s="16" t="n">
        <v>65</v>
      </c>
      <c r="G27" s="11" t="n">
        <v>156744.96</v>
      </c>
      <c r="H27" s="11" t="n">
        <v>2411.460923076923</v>
      </c>
      <c r="I27" s="11" t="n">
        <v>22438.1</v>
      </c>
      <c r="J27" s="11" t="n">
        <v>345.2015384615385</v>
      </c>
      <c r="K27" s="11" t="n">
        <v>134306.86</v>
      </c>
      <c r="L27" s="11" t="n">
        <v>2066.259384615385</v>
      </c>
      <c r="M27" s="12" t="inlineStr">
        <is>
          <t>revenue and material include siding, not roof-only</t>
        </is>
      </c>
    </row>
    <row r="28">
      <c r="A28" s="17" t="inlineStr">
        <is>
          <t>24007</t>
        </is>
      </c>
      <c r="B28" s="17" t="inlineStr">
        <is>
          <t>Big Lake</t>
        </is>
      </c>
      <c r="C28" s="17" t="inlineStr">
        <is>
          <t>Insurance</t>
        </is>
      </c>
      <c r="D28" s="17" t="inlineStr">
        <is>
          <t>Roofing</t>
        </is>
      </c>
      <c r="E28" s="17" t="inlineStr">
        <is>
          <t>Closed - Complete</t>
        </is>
      </c>
      <c r="F28" s="18" t="n">
        <v>1</v>
      </c>
      <c r="G28" s="19" t="n">
        <v>37915.33</v>
      </c>
      <c r="H28" s="19" t="n">
        <v>37915.33</v>
      </c>
      <c r="I28" s="19" t="n">
        <v>272.81</v>
      </c>
      <c r="J28" s="19" t="n">
        <v>272.81</v>
      </c>
      <c r="K28" s="19" t="n">
        <v>37642.52</v>
      </c>
      <c r="L28" s="19" t="n">
        <v>37642.52</v>
      </c>
      <c r="M28" s="20" t="inlineStr">
        <is>
          <t>partial/repair order - $/sq distorted by fixed items; sold amount revised from $78,494</t>
        </is>
      </c>
    </row>
    <row r="29">
      <c r="A29" s="10" t="inlineStr">
        <is>
          <t>24080</t>
        </is>
      </c>
      <c r="B29" s="10" t="inlineStr">
        <is>
          <t>Rogers</t>
        </is>
      </c>
      <c r="C29" s="10" t="inlineStr">
        <is>
          <t>Retail</t>
        </is>
      </c>
      <c r="D29" s="10" t="inlineStr">
        <is>
          <t>Roofing</t>
        </is>
      </c>
      <c r="E29" s="10" t="inlineStr">
        <is>
          <t>Post-Production</t>
        </is>
      </c>
      <c r="F29" s="16" t="n">
        <v>30</v>
      </c>
      <c r="G29" s="11" t="n"/>
      <c r="H29" s="11" t="n"/>
      <c r="I29" s="11" t="n">
        <v>5456.09</v>
      </c>
      <c r="J29" s="11" t="n">
        <v>181.8696666666667</v>
      </c>
      <c r="K29" s="11" t="n"/>
      <c r="L29" s="11" t="n"/>
      <c r="M29" s="12" t="inlineStr">
        <is>
          <t>no revenue booked - excluded from revenue/sq stats; status moved Lead -&gt; Post-Production</t>
        </is>
      </c>
    </row>
    <row r="30">
      <c r="A30" s="17" t="inlineStr">
        <is>
          <t>24081</t>
        </is>
      </c>
      <c r="B30" s="17" t="inlineStr">
        <is>
          <t>Rogers</t>
        </is>
      </c>
      <c r="C30" s="17" t="inlineStr">
        <is>
          <t>Retail</t>
        </is>
      </c>
      <c r="D30" s="17" t="inlineStr">
        <is>
          <t>Roofing</t>
        </is>
      </c>
      <c r="E30" s="17" t="inlineStr">
        <is>
          <t>Lead</t>
        </is>
      </c>
      <c r="F30" s="18" t="n">
        <v>48</v>
      </c>
      <c r="G30" s="19" t="n"/>
      <c r="H30" s="19" t="n"/>
      <c r="I30" s="19" t="n">
        <v>8550.059999999999</v>
      </c>
      <c r="J30" s="19" t="n">
        <v>178.12625</v>
      </c>
      <c r="K30" s="19" t="n"/>
      <c r="L30" s="19" t="n"/>
      <c r="M30" s="20" t="inlineStr">
        <is>
          <t>no revenue booked - excluded from revenue/sq stats</t>
        </is>
      </c>
    </row>
    <row r="32">
      <c r="A32" s="2" t="inlineStr">
        <is>
          <t>STATS</t>
        </is>
      </c>
    </row>
    <row r="33">
      <c r="A33" s="4" t="inlineStr">
        <is>
          <t>Material cost / sq, roofing-only, 4+ squares (n=18)</t>
        </is>
      </c>
      <c r="H33" s="21" t="n">
        <v>180.1622794117647</v>
      </c>
      <c r="J33" s="3" t="inlineStr">
        <is>
          <t>$165 - $226</t>
        </is>
      </c>
    </row>
    <row r="34">
      <c r="A34" s="4" t="inlineStr">
        <is>
          <t>Revenue / sq, retail roofing (n=6)</t>
        </is>
      </c>
      <c r="H34" s="21" t="n">
        <v>541.8952334980586</v>
      </c>
      <c r="J34" s="3" t="inlineStr">
        <is>
          <t>$415 - $872</t>
        </is>
      </c>
    </row>
    <row r="35">
      <c r="A35" s="4" t="inlineStr">
        <is>
          <t>Contribution after material / sq, retail roofing (n=6)</t>
        </is>
      </c>
      <c r="H35" s="21" t="n">
        <v>368.7931372220261</v>
      </c>
      <c r="J35" s="3" t="inlineStr">
        <is>
          <t>labor not yet subtracted</t>
        </is>
      </c>
    </row>
    <row r="36">
      <c r="A36" s="4" t="inlineStr">
        <is>
          <t>Revenue / sq, all trades, 4+ squares (n=23)</t>
        </is>
      </c>
      <c r="H36" s="21" t="n">
        <v>774.9991666666667</v>
      </c>
      <c r="J36" s="3" t="inlineStr">
        <is>
          <t>$415 - $2,411</t>
        </is>
      </c>
    </row>
    <row r="38">
      <c r="A38" s="3" t="inlineStr">
        <is>
          <t>Excluded from the ranges above: 1 job(s) under 4 squares (a repair, not a roof) and 2 job(s) with no revenue booked. Both are still listed above.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4"/>
  <sheetViews>
    <sheetView showGridLines="0" workbookViewId="0">
      <selection activeCell="A1" sqref="A1"/>
    </sheetView>
  </sheetViews>
  <sheetFormatPr baseColWidth="8" defaultRowHeight="15"/>
  <sheetData>
    <row r="1">
      <c r="A1" s="1" t="inlineStr">
        <is>
          <t>The Dollars-per-Square Curve</t>
        </is>
      </c>
    </row>
    <row r="2">
      <c r="A2" s="3" t="inlineStr">
        <is>
          <t>Each job plotted by roof size (squares) against revenue per square and material per square. Material/sq is the flat floor; revenue/sq is where pricing lives.</t>
        </is>
      </c>
    </row>
    <row r="4">
      <c r="A4" s="9" t="inlineStr">
        <is>
          <t>CRM Job</t>
        </is>
      </c>
      <c r="B4" s="9" t="inlineStr">
        <is>
          <t>Channel</t>
        </is>
      </c>
      <c r="C4" s="9" t="inlineStr">
        <is>
          <t>Squares</t>
        </is>
      </c>
      <c r="D4" s="9" t="inlineStr">
        <is>
          <t>Revenue / sq</t>
        </is>
      </c>
      <c r="E4" s="9" t="inlineStr">
        <is>
          <t>Material / sq</t>
        </is>
      </c>
      <c r="F4" s="9" t="inlineStr">
        <is>
          <t>Contribution / sq</t>
        </is>
      </c>
    </row>
    <row r="5">
      <c r="A5" s="10" t="inlineStr">
        <is>
          <t>24040</t>
        </is>
      </c>
      <c r="B5" s="10" t="inlineStr">
        <is>
          <t>Retail</t>
        </is>
      </c>
      <c r="C5" s="10" t="n">
        <v>4.66</v>
      </c>
      <c r="D5" s="11" t="n">
        <v>441.6394849785407</v>
      </c>
      <c r="E5" s="11" t="n">
        <v>228.6995708154506</v>
      </c>
      <c r="F5" s="11" t="n">
        <v>212.9399141630901</v>
      </c>
    </row>
    <row r="6">
      <c r="A6" s="10" t="inlineStr">
        <is>
          <t>24072</t>
        </is>
      </c>
      <c r="B6" s="10" t="inlineStr">
        <is>
          <t>Retail</t>
        </is>
      </c>
      <c r="C6" s="10" t="n">
        <v>11.66</v>
      </c>
      <c r="D6" s="11" t="n">
        <v>872.4554030874785</v>
      </c>
      <c r="E6" s="11" t="n">
        <v>226.0557461406518</v>
      </c>
      <c r="F6" s="11" t="n">
        <v>646.3996569468268</v>
      </c>
    </row>
    <row r="7">
      <c r="A7" s="10" t="inlineStr">
        <is>
          <t>24077</t>
        </is>
      </c>
      <c r="B7" s="10" t="inlineStr">
        <is>
          <t>Retail</t>
        </is>
      </c>
      <c r="C7" s="10" t="n">
        <v>17</v>
      </c>
      <c r="D7" s="11" t="n">
        <v>651.964705882353</v>
      </c>
      <c r="E7" s="11" t="n">
        <v>179.5070588235294</v>
      </c>
      <c r="F7" s="11" t="n">
        <v>472.4576470588235</v>
      </c>
    </row>
    <row r="8">
      <c r="A8" s="10" t="inlineStr">
        <is>
          <t>24025</t>
        </is>
      </c>
      <c r="B8" s="10" t="inlineStr">
        <is>
          <t>Retail</t>
        </is>
      </c>
      <c r="C8" s="10" t="n">
        <v>20</v>
      </c>
      <c r="D8" s="11" t="n">
        <v>649.821</v>
      </c>
      <c r="E8" s="11" t="n">
        <v>180.8175</v>
      </c>
      <c r="F8" s="11" t="n">
        <v>469.0035</v>
      </c>
    </row>
    <row r="9">
      <c r="A9" s="10" t="inlineStr">
        <is>
          <t>24038</t>
        </is>
      </c>
      <c r="B9" s="10" t="inlineStr">
        <is>
          <t>Insurance</t>
        </is>
      </c>
      <c r="C9" s="10" t="n">
        <v>22</v>
      </c>
      <c r="D9" s="11" t="n">
        <v>1003.504545454545</v>
      </c>
      <c r="E9" s="11" t="n">
        <v>198.7604545454545</v>
      </c>
      <c r="F9" s="11" t="n">
        <v>804.7440909090909</v>
      </c>
    </row>
    <row r="10">
      <c r="A10" s="10" t="inlineStr">
        <is>
          <t>24055</t>
        </is>
      </c>
      <c r="B10" s="10" t="inlineStr">
        <is>
          <t>Insurance</t>
        </is>
      </c>
      <c r="C10" s="10" t="n">
        <v>27</v>
      </c>
      <c r="D10" s="11" t="n">
        <v>848.8048148148148</v>
      </c>
      <c r="E10" s="11" t="n">
        <v>171.2485185185185</v>
      </c>
      <c r="F10" s="11" t="n">
        <v>677.5562962962963</v>
      </c>
    </row>
    <row r="11">
      <c r="A11" s="10" t="inlineStr">
        <is>
          <t>24032</t>
        </is>
      </c>
      <c r="B11" s="10" t="inlineStr">
        <is>
          <t>Retail</t>
        </is>
      </c>
      <c r="C11" s="10" t="n">
        <v>29</v>
      </c>
      <c r="D11" s="11" t="n">
        <v>432.7020689655172</v>
      </c>
      <c r="E11" s="11" t="n">
        <v>178.9644827586207</v>
      </c>
      <c r="F11" s="11" t="n">
        <v>253.7375862068966</v>
      </c>
    </row>
    <row r="12">
      <c r="A12" s="10" t="inlineStr">
        <is>
          <t>24019</t>
        </is>
      </c>
      <c r="B12" s="10" t="inlineStr">
        <is>
          <t>Insurance</t>
        </is>
      </c>
      <c r="C12" s="10" t="n">
        <v>31</v>
      </c>
      <c r="D12" s="11" t="n">
        <v>949.6590322580645</v>
      </c>
      <c r="E12" s="11" t="n">
        <v>198.6548387096774</v>
      </c>
      <c r="F12" s="11" t="n">
        <v>751.0041935483871</v>
      </c>
    </row>
    <row r="13">
      <c r="A13" s="10" t="inlineStr">
        <is>
          <t>24033</t>
        </is>
      </c>
      <c r="B13" s="10" t="inlineStr">
        <is>
          <t>Insurance</t>
        </is>
      </c>
      <c r="C13" s="10" t="n">
        <v>31</v>
      </c>
      <c r="D13" s="11" t="n">
        <v>811.2051612903226</v>
      </c>
      <c r="E13" s="11" t="n">
        <v>191.9916129032258</v>
      </c>
      <c r="F13" s="11" t="n">
        <v>619.2135483870968</v>
      </c>
    </row>
    <row r="14">
      <c r="A14" s="10" t="inlineStr">
        <is>
          <t>24022</t>
        </is>
      </c>
      <c r="B14" s="10" t="inlineStr">
        <is>
          <t>Insurance</t>
        </is>
      </c>
      <c r="C14" s="10" t="n">
        <v>33</v>
      </c>
      <c r="D14" s="11" t="n">
        <v>1710.150303030303</v>
      </c>
      <c r="E14" s="11" t="n">
        <v>228.1857575757576</v>
      </c>
      <c r="F14" s="11" t="n">
        <v>1481.964545454545</v>
      </c>
    </row>
    <row r="15">
      <c r="A15" s="10" t="inlineStr">
        <is>
          <t>24024</t>
        </is>
      </c>
      <c r="B15" s="10" t="inlineStr">
        <is>
          <t>Insurance</t>
        </is>
      </c>
      <c r="C15" s="10" t="n">
        <v>33.33</v>
      </c>
      <c r="D15" s="11" t="n">
        <v>642.1503150315032</v>
      </c>
      <c r="E15" s="11" t="n">
        <v>191.4665466546655</v>
      </c>
      <c r="F15" s="11" t="n">
        <v>450.6837683768377</v>
      </c>
    </row>
    <row r="16">
      <c r="A16" s="10" t="inlineStr">
        <is>
          <t>24034</t>
        </is>
      </c>
      <c r="B16" s="10" t="inlineStr">
        <is>
          <t>Insurance</t>
        </is>
      </c>
      <c r="C16" s="10" t="n">
        <v>33.66</v>
      </c>
      <c r="D16" s="11" t="n">
        <v>909.5181224004755</v>
      </c>
      <c r="E16" s="11" t="n">
        <v>186.120320855615</v>
      </c>
      <c r="F16" s="11" t="n">
        <v>723.3978015448604</v>
      </c>
    </row>
    <row r="17">
      <c r="A17" s="10" t="inlineStr">
        <is>
          <t>24029</t>
        </is>
      </c>
      <c r="B17" s="10" t="inlineStr">
        <is>
          <t>Insurance</t>
        </is>
      </c>
      <c r="C17" s="10" t="n">
        <v>35.66</v>
      </c>
      <c r="D17" s="11" t="n">
        <v>755.7781828379137</v>
      </c>
      <c r="E17" s="11" t="n">
        <v>177.7122826696579</v>
      </c>
      <c r="F17" s="11" t="n">
        <v>578.0659001682558</v>
      </c>
    </row>
    <row r="18">
      <c r="A18" s="10" t="inlineStr">
        <is>
          <t>24013</t>
        </is>
      </c>
      <c r="B18" s="10" t="inlineStr">
        <is>
          <t>Insurance</t>
        </is>
      </c>
      <c r="C18" s="10" t="n">
        <v>36</v>
      </c>
      <c r="D18" s="11" t="n">
        <v>774.9991666666667</v>
      </c>
      <c r="E18" s="11" t="n">
        <v>190.6575</v>
      </c>
      <c r="F18" s="11" t="n">
        <v>584.3416666666667</v>
      </c>
    </row>
    <row r="19">
      <c r="A19" s="10" t="inlineStr">
        <is>
          <t>24016</t>
        </is>
      </c>
      <c r="B19" s="10" t="inlineStr">
        <is>
          <t>Insurance</t>
        </is>
      </c>
      <c r="C19" s="10" t="n">
        <v>36</v>
      </c>
      <c r="D19" s="11" t="n">
        <v>670.3236111111112</v>
      </c>
      <c r="E19" s="11" t="n">
        <v>179.3552777777778</v>
      </c>
      <c r="F19" s="11" t="n">
        <v>490.9683333333334</v>
      </c>
    </row>
    <row r="20">
      <c r="A20" s="10" t="inlineStr">
        <is>
          <t>24047</t>
        </is>
      </c>
      <c r="B20" s="10" t="inlineStr">
        <is>
          <t>Insurance</t>
        </is>
      </c>
      <c r="C20" s="10" t="n">
        <v>36</v>
      </c>
      <c r="D20" s="11" t="n">
        <v>994.6688888888889</v>
      </c>
      <c r="E20" s="11" t="n">
        <v>179.3161111111111</v>
      </c>
      <c r="F20" s="11" t="n">
        <v>815.3527777777778</v>
      </c>
    </row>
    <row r="21">
      <c r="A21" s="10" t="inlineStr">
        <is>
          <t>24036</t>
        </is>
      </c>
      <c r="B21" s="10" t="inlineStr">
        <is>
          <t>Retail</t>
        </is>
      </c>
      <c r="C21" s="10" t="n">
        <v>37</v>
      </c>
      <c r="D21" s="11" t="n">
        <v>414.9381081081081</v>
      </c>
      <c r="E21" s="11" t="n">
        <v>177.0094594594595</v>
      </c>
      <c r="F21" s="11" t="n">
        <v>237.9286486486486</v>
      </c>
    </row>
    <row r="22">
      <c r="A22" s="10" t="inlineStr">
        <is>
          <t>24071</t>
        </is>
      </c>
      <c r="B22" s="10" t="inlineStr">
        <is>
          <t>Insurance</t>
        </is>
      </c>
      <c r="C22" s="10" t="n">
        <v>44</v>
      </c>
      <c r="D22" s="11" t="n">
        <v>1382.205454545455</v>
      </c>
      <c r="E22" s="11" t="n">
        <v>174.9013636363636</v>
      </c>
      <c r="F22" s="11" t="n">
        <v>1207.304090909091</v>
      </c>
    </row>
    <row r="23">
      <c r="A23" s="10" t="inlineStr">
        <is>
          <t>24059</t>
        </is>
      </c>
      <c r="B23" s="10" t="inlineStr">
        <is>
          <t>Insurance</t>
        </is>
      </c>
      <c r="C23" s="10" t="n">
        <v>51.66</v>
      </c>
      <c r="D23" s="11" t="n">
        <v>1501.166666666667</v>
      </c>
      <c r="E23" s="11" t="n">
        <v>267.7338366240805</v>
      </c>
      <c r="F23" s="11" t="n">
        <v>1233.432830042586</v>
      </c>
    </row>
    <row r="24">
      <c r="A24" s="10" t="inlineStr">
        <is>
          <t>24051</t>
        </is>
      </c>
      <c r="B24" s="10" t="inlineStr">
        <is>
          <t>Insurance</t>
        </is>
      </c>
      <c r="C24" s="10" t="n">
        <v>56</v>
      </c>
      <c r="D24" s="11" t="n">
        <v>562.6785714285714</v>
      </c>
      <c r="E24" s="11" t="n">
        <v>200.8542857142857</v>
      </c>
      <c r="F24" s="11" t="n">
        <v>361.8242857142857</v>
      </c>
    </row>
    <row r="25">
      <c r="A25" s="10" t="inlineStr">
        <is>
          <t>24067</t>
        </is>
      </c>
      <c r="B25" s="10" t="inlineStr">
        <is>
          <t>Retail</t>
        </is>
      </c>
      <c r="C25" s="10" t="n">
        <v>56.66</v>
      </c>
      <c r="D25" s="11" t="n">
        <v>433.9694669961172</v>
      </c>
      <c r="E25" s="11" t="n">
        <v>165.3866925520649</v>
      </c>
      <c r="F25" s="11" t="n">
        <v>268.5827744440522</v>
      </c>
    </row>
    <row r="26">
      <c r="A26" s="10" t="inlineStr">
        <is>
          <t>24074</t>
        </is>
      </c>
      <c r="B26" s="10" t="inlineStr">
        <is>
          <t>Insurance</t>
        </is>
      </c>
      <c r="C26" s="10" t="n">
        <v>62</v>
      </c>
      <c r="D26" s="11" t="n">
        <v>760.6875806451612</v>
      </c>
      <c r="E26" s="11" t="n">
        <v>182.1595161290323</v>
      </c>
      <c r="F26" s="11" t="n">
        <v>578.528064516129</v>
      </c>
    </row>
    <row r="27">
      <c r="A27" s="10" t="inlineStr">
        <is>
          <t>24068</t>
        </is>
      </c>
      <c r="B27" s="10" t="inlineStr">
        <is>
          <t>Insurance</t>
        </is>
      </c>
      <c r="C27" s="10" t="n">
        <v>65</v>
      </c>
      <c r="D27" s="11" t="n">
        <v>2411.460923076923</v>
      </c>
      <c r="E27" s="11" t="n">
        <v>345.2015384615385</v>
      </c>
      <c r="F27" s="11" t="n">
        <v>2066.259384615385</v>
      </c>
    </row>
    <row r="30">
      <c r="A30" s="14" t="inlineStr">
        <is>
          <t>Read the curve: material/sq (middle band) barely moves - it sits at $165 - $226 no matter the job size.</t>
        </is>
      </c>
    </row>
    <row r="31">
      <c r="A31" s="14" t="inlineStr">
        <is>
          <t>Revenue/sq scatters wide. On retail roofs the big jobs cluster near the $415-$434 floor; small roofs price higher per square.</t>
        </is>
      </c>
    </row>
    <row r="32">
      <c r="A32" s="14" t="inlineStr">
        <is>
          <t>Insurance points ride far above because the claim buys more than the roof.</t>
        </is>
      </c>
    </row>
    <row r="33">
      <c r="A33" s="14" t="inlineStr">
        <is>
          <t>The distance between a job's revenue/sq dot and its material/sq dot is contribution/sq - but labor still comes out of that.</t>
        </is>
      </c>
    </row>
    <row r="34">
      <c r="A34" s="14" t="inlineStr">
        <is>
          <t>23 of the 26 square-count jobs qualify for this chart: they need a booked revenue, a material order, and 4+ squares.</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02"/>
  <sheetViews>
    <sheetView showGridLines="0" workbookViewId="0">
      <selection activeCell="A1" sqref="A1"/>
    </sheetView>
  </sheetViews>
  <sheetFormatPr baseColWidth="8" defaultRowHeight="15"/>
  <cols>
    <col width="9" customWidth="1" min="1" max="1"/>
    <col width="11" customWidth="1" min="2" max="2"/>
    <col width="17" customWidth="1" min="3" max="3"/>
    <col width="15" customWidth="1" min="4" max="4"/>
    <col width="17" customWidth="1" min="5" max="5"/>
    <col width="17" customWidth="1" min="6" max="6"/>
    <col width="13" customWidth="1" min="7" max="7"/>
    <col width="17" customWidth="1" min="8" max="8"/>
    <col width="15" customWidth="1" min="9" max="9"/>
    <col width="34" customWidth="1" min="10" max="10"/>
  </cols>
  <sheetData>
    <row r="1">
      <c r="A1" s="1" t="inlineStr">
        <is>
          <t>Job Value Distribution (all numbered CRM jobs)</t>
        </is>
      </c>
    </row>
    <row r="2">
      <c r="A2" s="3" t="inlineStr">
        <is>
          <t>The average-job-value input for the marketing budget. Sorted high to low. All 88 numbered jobs are listed; the Flag column says which are held out of the averages and why.</t>
        </is>
      </c>
    </row>
    <row r="4">
      <c r="A4" s="9" t="inlineStr">
        <is>
          <t>CRM Job</t>
        </is>
      </c>
      <c r="B4" s="9" t="inlineStr">
        <is>
          <t>Channel</t>
        </is>
      </c>
      <c r="C4" s="9" t="inlineStr">
        <is>
          <t>Trade</t>
        </is>
      </c>
      <c r="D4" s="9" t="inlineStr">
        <is>
          <t>City</t>
        </is>
      </c>
      <c r="E4" s="9" t="inlineStr">
        <is>
          <t>Job Status</t>
        </is>
      </c>
      <c r="F4" s="9" t="inlineStr">
        <is>
          <t>Status on 2026-08-25</t>
        </is>
      </c>
      <c r="G4" s="9" t="inlineStr">
        <is>
          <t>Sold $</t>
        </is>
      </c>
      <c r="H4" s="9" t="inlineStr">
        <is>
          <t>Sold $ on 2026-08-25</t>
        </is>
      </c>
      <c r="I4" s="9" t="inlineStr">
        <is>
          <t>Size Band</t>
        </is>
      </c>
      <c r="J4" s="9" t="inlineStr">
        <is>
          <t>Flag</t>
        </is>
      </c>
    </row>
    <row r="5">
      <c r="A5" s="10" t="inlineStr">
        <is>
          <t>24026</t>
        </is>
      </c>
      <c r="B5" s="10" t="inlineStr">
        <is>
          <t>Insurance</t>
        </is>
      </c>
      <c r="C5" s="10" t="inlineStr">
        <is>
          <t>Roofing</t>
        </is>
      </c>
      <c r="D5" s="10" t="inlineStr">
        <is>
          <t>St Michael</t>
        </is>
      </c>
      <c r="E5" s="10" t="inlineStr">
        <is>
          <t>Closed - Complete</t>
        </is>
      </c>
      <c r="F5" s="10" t="inlineStr">
        <is>
          <t>Closed - Complete</t>
        </is>
      </c>
      <c r="G5" s="11" t="n">
        <v>799536.87</v>
      </c>
      <c r="H5" s="11" t="n">
        <v>799536.87</v>
      </c>
      <c r="I5" s="10" t="inlineStr">
        <is>
          <t>E 100k plus</t>
        </is>
      </c>
      <c r="J5" s="12" t="inlineStr">
        <is>
          <t>Outlier799k_MarkedFullyReceived_260827</t>
        </is>
      </c>
    </row>
    <row r="6">
      <c r="A6" s="10" t="inlineStr">
        <is>
          <t>24031</t>
        </is>
      </c>
      <c r="B6" s="10" t="inlineStr">
        <is>
          <t>Insurance</t>
        </is>
      </c>
      <c r="C6" s="10" t="inlineStr">
        <is>
          <t>Roofing</t>
        </is>
      </c>
      <c r="D6" s="10" t="inlineStr">
        <is>
          <t>Crosslake</t>
        </is>
      </c>
      <c r="E6" s="10" t="inlineStr">
        <is>
          <t>Closed - Complete</t>
        </is>
      </c>
      <c r="F6" s="10" t="inlineStr">
        <is>
          <t>Inspection/Demo</t>
        </is>
      </c>
      <c r="G6" s="11" t="n">
        <v>178015.44</v>
      </c>
      <c r="H6" s="11" t="n">
        <v>178015.44</v>
      </c>
      <c r="I6" s="10" t="inlineStr">
        <is>
          <t>E 100k plus</t>
        </is>
      </c>
      <c r="J6" s="12" t="inlineStr">
        <is>
          <t>status changed</t>
        </is>
      </c>
    </row>
    <row r="7">
      <c r="A7" s="10" t="inlineStr">
        <is>
          <t>24068</t>
        </is>
      </c>
      <c r="B7" s="10" t="inlineStr">
        <is>
          <t>Insurance</t>
        </is>
      </c>
      <c r="C7" s="10" t="inlineStr">
        <is>
          <t>RoofingAndSiding</t>
        </is>
      </c>
      <c r="D7" s="10" t="inlineStr">
        <is>
          <t>Big Lake</t>
        </is>
      </c>
      <c r="E7" s="10" t="inlineStr">
        <is>
          <t>Closed - Complete</t>
        </is>
      </c>
      <c r="F7" s="10" t="inlineStr">
        <is>
          <t>Closed - Complete</t>
        </is>
      </c>
      <c r="G7" s="11" t="n">
        <v>156744.96</v>
      </c>
      <c r="H7" s="11" t="n">
        <v>156744.96</v>
      </c>
      <c r="I7" s="10" t="inlineStr">
        <is>
          <t>E 100k plus</t>
        </is>
      </c>
      <c r="J7" s="12" t="inlineStr"/>
    </row>
    <row r="8">
      <c r="A8" s="10" t="inlineStr">
        <is>
          <t>24004</t>
        </is>
      </c>
      <c r="B8" s="10" t="inlineStr">
        <is>
          <t>Retail</t>
        </is>
      </c>
      <c r="C8" s="10" t="inlineStr">
        <is>
          <t>Roofing</t>
        </is>
      </c>
      <c r="D8" s="10" t="inlineStr">
        <is>
          <t>Plymouth</t>
        </is>
      </c>
      <c r="E8" s="10" t="inlineStr">
        <is>
          <t>Closed - Complete</t>
        </is>
      </c>
      <c r="F8" s="10" t="inlineStr">
        <is>
          <t>Closed - Complete</t>
        </is>
      </c>
      <c r="G8" s="11" t="n">
        <v>115363.74</v>
      </c>
      <c r="H8" s="11" t="n">
        <v>115363.74</v>
      </c>
      <c r="I8" s="10" t="inlineStr">
        <is>
          <t>E 100k plus</t>
        </is>
      </c>
      <c r="J8" s="12" t="inlineStr"/>
    </row>
    <row r="9">
      <c r="A9" s="10" t="inlineStr">
        <is>
          <t>24044</t>
        </is>
      </c>
      <c r="B9" s="10" t="inlineStr">
        <is>
          <t>Insurance</t>
        </is>
      </c>
      <c r="C9" s="10" t="inlineStr">
        <is>
          <t>RoofingAndSiding</t>
        </is>
      </c>
      <c r="D9" s="10" t="inlineStr">
        <is>
          <t>St Michael</t>
        </is>
      </c>
      <c r="E9" s="10" t="inlineStr">
        <is>
          <t>Closed - Complete</t>
        </is>
      </c>
      <c r="F9" s="10" t="inlineStr">
        <is>
          <t>Inspection/Demo</t>
        </is>
      </c>
      <c r="G9" s="11" t="n">
        <v>102313.65</v>
      </c>
      <c r="H9" s="11" t="n">
        <v>102313.65</v>
      </c>
      <c r="I9" s="10" t="inlineStr">
        <is>
          <t>E 100k plus</t>
        </is>
      </c>
      <c r="J9" s="12" t="inlineStr">
        <is>
          <t>status changed</t>
        </is>
      </c>
    </row>
    <row r="10">
      <c r="A10" s="10" t="inlineStr">
        <is>
          <t>24059</t>
        </is>
      </c>
      <c r="B10" s="10" t="inlineStr">
        <is>
          <t>Insurance</t>
        </is>
      </c>
      <c r="C10" s="10" t="inlineStr">
        <is>
          <t>RoofingAndSiding</t>
        </is>
      </c>
      <c r="D10" s="10" t="inlineStr">
        <is>
          <t>Otsego</t>
        </is>
      </c>
      <c r="E10" s="10" t="inlineStr">
        <is>
          <t>Closed - Complete</t>
        </is>
      </c>
      <c r="F10" s="10" t="inlineStr">
        <is>
          <t>Inspection/Demo</t>
        </is>
      </c>
      <c r="G10" s="11" t="n">
        <v>77550.27</v>
      </c>
      <c r="H10" s="11" t="n">
        <v>77550.27</v>
      </c>
      <c r="I10" s="10" t="inlineStr">
        <is>
          <t>D 50k to 100k</t>
        </is>
      </c>
      <c r="J10" s="12" t="inlineStr">
        <is>
          <t>status changed</t>
        </is>
      </c>
    </row>
    <row r="11">
      <c r="A11" s="10" t="inlineStr">
        <is>
          <t>24048</t>
        </is>
      </c>
      <c r="B11" s="10" t="inlineStr">
        <is>
          <t>Insurance</t>
        </is>
      </c>
      <c r="C11" s="10" t="inlineStr">
        <is>
          <t>RoofingAndSiding</t>
        </is>
      </c>
      <c r="D11" s="10" t="inlineStr">
        <is>
          <t>Monticello</t>
        </is>
      </c>
      <c r="E11" s="10" t="inlineStr">
        <is>
          <t>Closed - Complete</t>
        </is>
      </c>
      <c r="F11" s="10" t="inlineStr">
        <is>
          <t>Closed - Complete</t>
        </is>
      </c>
      <c r="G11" s="11" t="n">
        <v>72044.11</v>
      </c>
      <c r="H11" s="11" t="n">
        <v>113858.29</v>
      </c>
      <c r="I11" s="10" t="inlineStr">
        <is>
          <t>D 50k to 100k</t>
        </is>
      </c>
      <c r="J11" s="12" t="inlineStr">
        <is>
          <t>sold amount revised</t>
        </is>
      </c>
    </row>
    <row r="12">
      <c r="A12" s="10" t="inlineStr">
        <is>
          <t>24049</t>
        </is>
      </c>
      <c r="B12" s="10" t="inlineStr">
        <is>
          <t>Insurance</t>
        </is>
      </c>
      <c r="C12" s="10" t="inlineStr">
        <is>
          <t>Roofing</t>
        </is>
      </c>
      <c r="D12" s="10" t="inlineStr">
        <is>
          <t>St Michael</t>
        </is>
      </c>
      <c r="E12" s="10" t="inlineStr">
        <is>
          <t>Closed - Complete</t>
        </is>
      </c>
      <c r="F12" s="10" t="inlineStr">
        <is>
          <t>Inspection/Demo</t>
        </is>
      </c>
      <c r="G12" s="11" t="n">
        <v>67089.10000000001</v>
      </c>
      <c r="H12" s="11" t="n">
        <v>67089.10000000001</v>
      </c>
      <c r="I12" s="10" t="inlineStr">
        <is>
          <t>D 50k to 100k</t>
        </is>
      </c>
      <c r="J12" s="12" t="inlineStr">
        <is>
          <t>status changed</t>
        </is>
      </c>
    </row>
    <row r="13">
      <c r="A13" s="10" t="inlineStr">
        <is>
          <t>24083</t>
        </is>
      </c>
      <c r="B13" s="10" t="inlineStr">
        <is>
          <t>Retail</t>
        </is>
      </c>
      <c r="C13" s="10" t="inlineStr">
        <is>
          <t>RoofingAndSiding</t>
        </is>
      </c>
      <c r="D13" s="10" t="inlineStr">
        <is>
          <t>Buffalo</t>
        </is>
      </c>
      <c r="E13" s="10" t="inlineStr">
        <is>
          <t>Contract Signed</t>
        </is>
      </c>
      <c r="F13" s="10" t="inlineStr">
        <is>
          <t>Contract Signed</t>
        </is>
      </c>
      <c r="G13" s="11" t="n">
        <v>62910</v>
      </c>
      <c r="H13" s="11" t="n">
        <v>62910</v>
      </c>
      <c r="I13" s="10" t="inlineStr">
        <is>
          <t>D 50k to 100k</t>
        </is>
      </c>
      <c r="J13" s="12" t="inlineStr"/>
    </row>
    <row r="14">
      <c r="A14" s="10" t="inlineStr">
        <is>
          <t>24009</t>
        </is>
      </c>
      <c r="B14" s="10" t="inlineStr">
        <is>
          <t>Insurance</t>
        </is>
      </c>
      <c r="C14" s="10" t="inlineStr">
        <is>
          <t>Roofing</t>
        </is>
      </c>
      <c r="D14" s="10" t="inlineStr">
        <is>
          <t>Crosslake</t>
        </is>
      </c>
      <c r="E14" s="10" t="inlineStr">
        <is>
          <t>Closed - Complete</t>
        </is>
      </c>
      <c r="F14" s="10" t="inlineStr">
        <is>
          <t>Closed - Complete</t>
        </is>
      </c>
      <c r="G14" s="11" t="n">
        <v>61075.57</v>
      </c>
      <c r="H14" s="11" t="n">
        <v>61075.57</v>
      </c>
      <c r="I14" s="10" t="inlineStr">
        <is>
          <t>D 50k to 100k</t>
        </is>
      </c>
      <c r="J14" s="12" t="inlineStr"/>
    </row>
    <row r="15">
      <c r="A15" s="10" t="inlineStr">
        <is>
          <t>24071</t>
        </is>
      </c>
      <c r="B15" s="10" t="inlineStr">
        <is>
          <t>Insurance</t>
        </is>
      </c>
      <c r="C15" s="10" t="inlineStr">
        <is>
          <t>Roofing</t>
        </is>
      </c>
      <c r="D15" s="10" t="inlineStr">
        <is>
          <t>St Michael</t>
        </is>
      </c>
      <c r="E15" s="10" t="inlineStr">
        <is>
          <t>Inspection/Demo</t>
        </is>
      </c>
      <c r="F15" s="10" t="inlineStr">
        <is>
          <t>Inspection/Demo</t>
        </is>
      </c>
      <c r="G15" s="11" t="n">
        <v>60817.04</v>
      </c>
      <c r="H15" s="11" t="n">
        <v>60817.04</v>
      </c>
      <c r="I15" s="10" t="inlineStr">
        <is>
          <t>D 50k to 100k</t>
        </is>
      </c>
      <c r="J15" s="12" t="inlineStr"/>
    </row>
    <row r="16">
      <c r="A16" s="10" t="inlineStr">
        <is>
          <t>24041</t>
        </is>
      </c>
      <c r="B16" s="10" t="inlineStr">
        <is>
          <t>Insurance</t>
        </is>
      </c>
      <c r="C16" s="10" t="inlineStr">
        <is>
          <t>Roofing</t>
        </is>
      </c>
      <c r="D16" s="10" t="inlineStr">
        <is>
          <t>Buffalo</t>
        </is>
      </c>
      <c r="E16" s="10" t="inlineStr">
        <is>
          <t>Closed - Complete</t>
        </is>
      </c>
      <c r="F16" s="10" t="inlineStr">
        <is>
          <t>Inspection/Demo</t>
        </is>
      </c>
      <c r="G16" s="11" t="n">
        <v>57224.76</v>
      </c>
      <c r="H16" s="11" t="n">
        <v>57224.76</v>
      </c>
      <c r="I16" s="10" t="inlineStr">
        <is>
          <t>D 50k to 100k</t>
        </is>
      </c>
      <c r="J16" s="12" t="inlineStr">
        <is>
          <t>status changed</t>
        </is>
      </c>
    </row>
    <row r="17">
      <c r="A17" s="10" t="inlineStr">
        <is>
          <t>24022</t>
        </is>
      </c>
      <c r="B17" s="10" t="inlineStr">
        <is>
          <t>Insurance</t>
        </is>
      </c>
      <c r="C17" s="10" t="inlineStr">
        <is>
          <t>RoofingAndSiding</t>
        </is>
      </c>
      <c r="D17" s="10" t="inlineStr">
        <is>
          <t>St Michael</t>
        </is>
      </c>
      <c r="E17" s="10" t="inlineStr">
        <is>
          <t>Closed - Complete</t>
        </is>
      </c>
      <c r="F17" s="10" t="inlineStr">
        <is>
          <t>Closed - Complete</t>
        </is>
      </c>
      <c r="G17" s="11" t="n">
        <v>56434.96</v>
      </c>
      <c r="H17" s="11" t="n">
        <v>56434.96</v>
      </c>
      <c r="I17" s="10" t="inlineStr">
        <is>
          <t>D 50k to 100k</t>
        </is>
      </c>
      <c r="J17" s="12" t="inlineStr"/>
    </row>
    <row r="18">
      <c r="A18" s="10" t="inlineStr">
        <is>
          <t>24023</t>
        </is>
      </c>
      <c r="B18" s="10" t="inlineStr">
        <is>
          <t>Insurance</t>
        </is>
      </c>
      <c r="C18" s="10" t="inlineStr">
        <is>
          <t>Roofing</t>
        </is>
      </c>
      <c r="D18" s="10" t="inlineStr">
        <is>
          <t>St Michael</t>
        </is>
      </c>
      <c r="E18" s="10" t="inlineStr">
        <is>
          <t>Closed - Complete</t>
        </is>
      </c>
      <c r="F18" s="10" t="inlineStr">
        <is>
          <t>Closed - Complete</t>
        </is>
      </c>
      <c r="G18" s="11" t="n">
        <v>50940.36</v>
      </c>
      <c r="H18" s="11" t="n">
        <v>50940.36</v>
      </c>
      <c r="I18" s="10" t="inlineStr">
        <is>
          <t>D 50k to 100k</t>
        </is>
      </c>
      <c r="J18" s="12" t="inlineStr"/>
    </row>
    <row r="19">
      <c r="A19" s="10" t="inlineStr">
        <is>
          <t>24074</t>
        </is>
      </c>
      <c r="B19" s="10" t="inlineStr">
        <is>
          <t>Insurance</t>
        </is>
      </c>
      <c r="C19" s="10" t="inlineStr">
        <is>
          <t>Roofing</t>
        </is>
      </c>
      <c r="D19" s="10" t="inlineStr">
        <is>
          <t>Buffalo</t>
        </is>
      </c>
      <c r="E19" s="10" t="inlineStr">
        <is>
          <t>Closed - Complete</t>
        </is>
      </c>
      <c r="F19" s="10" t="inlineStr">
        <is>
          <t>Inspection/Demo</t>
        </is>
      </c>
      <c r="G19" s="11" t="n">
        <v>47162.63</v>
      </c>
      <c r="H19" s="11" t="n">
        <v>47162.63</v>
      </c>
      <c r="I19" s="10" t="inlineStr">
        <is>
          <t>C 25k to 50k</t>
        </is>
      </c>
      <c r="J19" s="12" t="inlineStr">
        <is>
          <t>status changed</t>
        </is>
      </c>
    </row>
    <row r="20">
      <c r="A20" s="10" t="inlineStr">
        <is>
          <t>24003</t>
        </is>
      </c>
      <c r="B20" s="10" t="inlineStr">
        <is>
          <t>Insurance</t>
        </is>
      </c>
      <c r="C20" s="10" t="inlineStr">
        <is>
          <t>Roofing</t>
        </is>
      </c>
      <c r="D20" s="10" t="inlineStr">
        <is>
          <t>St Michael</t>
        </is>
      </c>
      <c r="E20" s="10" t="inlineStr">
        <is>
          <t>Closed - Complete</t>
        </is>
      </c>
      <c r="F20" s="10" t="inlineStr">
        <is>
          <t>Closed - Complete</t>
        </is>
      </c>
      <c r="G20" s="11" t="n">
        <v>40868.66</v>
      </c>
      <c r="H20" s="11" t="n">
        <v>40868.66</v>
      </c>
      <c r="I20" s="10" t="inlineStr">
        <is>
          <t>C 25k to 50k</t>
        </is>
      </c>
      <c r="J20" s="12" t="inlineStr"/>
    </row>
    <row r="21">
      <c r="A21" s="10" t="inlineStr">
        <is>
          <t>24020</t>
        </is>
      </c>
      <c r="B21" s="10" t="inlineStr">
        <is>
          <t>Retail</t>
        </is>
      </c>
      <c r="C21" s="10" t="inlineStr">
        <is>
          <t>Roofing</t>
        </is>
      </c>
      <c r="D21" s="10" t="inlineStr">
        <is>
          <t>Breezy Point</t>
        </is>
      </c>
      <c r="E21" s="10" t="inlineStr">
        <is>
          <t>Closed - Complete</t>
        </is>
      </c>
      <c r="F21" s="10" t="inlineStr">
        <is>
          <t>Lead</t>
        </is>
      </c>
      <c r="G21" s="11" t="n">
        <v>39206.94</v>
      </c>
      <c r="H21" s="11" t="n">
        <v>39206.94</v>
      </c>
      <c r="I21" s="10" t="inlineStr">
        <is>
          <t>C 25k to 50k</t>
        </is>
      </c>
      <c r="J21" s="12" t="inlineStr">
        <is>
          <t>status changed</t>
        </is>
      </c>
    </row>
    <row r="22">
      <c r="A22" s="10" t="inlineStr">
        <is>
          <t>24030</t>
        </is>
      </c>
      <c r="B22" s="10" t="inlineStr">
        <is>
          <t>Insurance</t>
        </is>
      </c>
      <c r="C22" s="10" t="inlineStr">
        <is>
          <t>Roofing</t>
        </is>
      </c>
      <c r="D22" s="10" t="inlineStr">
        <is>
          <t>St Michael</t>
        </is>
      </c>
      <c r="E22" s="10" t="inlineStr">
        <is>
          <t>Closed - Complete</t>
        </is>
      </c>
      <c r="F22" s="10" t="inlineStr">
        <is>
          <t>Closed - Complete</t>
        </is>
      </c>
      <c r="G22" s="11" t="n">
        <v>39052.18</v>
      </c>
      <c r="H22" s="11" t="n">
        <v>39052.18</v>
      </c>
      <c r="I22" s="10" t="inlineStr">
        <is>
          <t>C 25k to 50k</t>
        </is>
      </c>
      <c r="J22" s="12" t="inlineStr"/>
    </row>
    <row r="23">
      <c r="A23" s="10" t="inlineStr">
        <is>
          <t>24073</t>
        </is>
      </c>
      <c r="B23" s="10" t="inlineStr">
        <is>
          <t>Retail</t>
        </is>
      </c>
      <c r="C23" s="10" t="inlineStr">
        <is>
          <t>RoofingAndSiding</t>
        </is>
      </c>
      <c r="D23" s="10" t="inlineStr">
        <is>
          <t>Monticello</t>
        </is>
      </c>
      <c r="E23" s="10" t="inlineStr">
        <is>
          <t>Closed - Complete</t>
        </is>
      </c>
      <c r="F23" s="10" t="inlineStr">
        <is>
          <t>Closed - Complete</t>
        </is>
      </c>
      <c r="G23" s="11" t="n">
        <v>38676.8</v>
      </c>
      <c r="H23" s="11" t="n">
        <v>38676.8</v>
      </c>
      <c r="I23" s="10" t="inlineStr">
        <is>
          <t>C 25k to 50k</t>
        </is>
      </c>
      <c r="J23" s="12" t="inlineStr"/>
    </row>
    <row r="24">
      <c r="A24" s="10" t="inlineStr">
        <is>
          <t>24007</t>
        </is>
      </c>
      <c r="B24" s="10" t="inlineStr">
        <is>
          <t>Insurance</t>
        </is>
      </c>
      <c r="C24" s="10" t="inlineStr">
        <is>
          <t>Roofing</t>
        </is>
      </c>
      <c r="D24" s="10" t="inlineStr">
        <is>
          <t>Big Lake</t>
        </is>
      </c>
      <c r="E24" s="10" t="inlineStr">
        <is>
          <t>Closed - Complete</t>
        </is>
      </c>
      <c r="F24" s="10" t="inlineStr">
        <is>
          <t>Closed - Complete</t>
        </is>
      </c>
      <c r="G24" s="11" t="n">
        <v>37915.33</v>
      </c>
      <c r="H24" s="11" t="n">
        <v>78494.27</v>
      </c>
      <c r="I24" s="10" t="inlineStr">
        <is>
          <t>C 25k to 50k</t>
        </is>
      </c>
      <c r="J24" s="12" t="inlineStr">
        <is>
          <t>sold amount revised</t>
        </is>
      </c>
    </row>
    <row r="25">
      <c r="A25" s="10" t="inlineStr">
        <is>
          <t>24047</t>
        </is>
      </c>
      <c r="B25" s="10" t="inlineStr">
        <is>
          <t>Insurance</t>
        </is>
      </c>
      <c r="C25" s="10" t="inlineStr">
        <is>
          <t>Roofing</t>
        </is>
      </c>
      <c r="D25" s="10" t="inlineStr">
        <is>
          <t>St Michael</t>
        </is>
      </c>
      <c r="E25" s="10" t="inlineStr">
        <is>
          <t>Closed - Complete</t>
        </is>
      </c>
      <c r="F25" s="10" t="inlineStr">
        <is>
          <t>Inspection/Demo</t>
        </is>
      </c>
      <c r="G25" s="11" t="n">
        <v>35808.08</v>
      </c>
      <c r="H25" s="11" t="n">
        <v>35808.08</v>
      </c>
      <c r="I25" s="10" t="inlineStr">
        <is>
          <t>C 25k to 50k</t>
        </is>
      </c>
      <c r="J25" s="12" t="inlineStr">
        <is>
          <t>status changed</t>
        </is>
      </c>
    </row>
    <row r="26">
      <c r="A26" s="10" t="inlineStr">
        <is>
          <t>24039</t>
        </is>
      </c>
      <c r="B26" s="10" t="inlineStr">
        <is>
          <t>Retail</t>
        </is>
      </c>
      <c r="C26" s="10" t="inlineStr">
        <is>
          <t>RoofingAndSiding</t>
        </is>
      </c>
      <c r="D26" s="10" t="inlineStr">
        <is>
          <t>Prior Lake</t>
        </is>
      </c>
      <c r="E26" s="10" t="inlineStr">
        <is>
          <t>Closed - Complete</t>
        </is>
      </c>
      <c r="F26" s="10" t="inlineStr">
        <is>
          <t>Closed - Complete</t>
        </is>
      </c>
      <c r="G26" s="11" t="n">
        <v>35446.79</v>
      </c>
      <c r="H26" s="11" t="n">
        <v>35446.79</v>
      </c>
      <c r="I26" s="10" t="inlineStr">
        <is>
          <t>C 25k to 50k</t>
        </is>
      </c>
      <c r="J26" s="12" t="inlineStr"/>
    </row>
    <row r="27">
      <c r="A27" s="10" t="inlineStr">
        <is>
          <t>24005</t>
        </is>
      </c>
      <c r="B27" s="10" t="inlineStr">
        <is>
          <t>Insurance</t>
        </is>
      </c>
      <c r="C27" s="10" t="inlineStr">
        <is>
          <t>Roofing</t>
        </is>
      </c>
      <c r="D27" s="10" t="inlineStr">
        <is>
          <t>Manhattan Beach</t>
        </is>
      </c>
      <c r="E27" s="10" t="inlineStr">
        <is>
          <t>Closed - Complete</t>
        </is>
      </c>
      <c r="F27" s="10" t="inlineStr">
        <is>
          <t>Closed - Complete</t>
        </is>
      </c>
      <c r="G27" s="11" t="n">
        <v>35085.88</v>
      </c>
      <c r="H27" s="11" t="n">
        <v>35085.88</v>
      </c>
      <c r="I27" s="10" t="inlineStr">
        <is>
          <t>C 25k to 50k</t>
        </is>
      </c>
      <c r="J27" s="12" t="inlineStr"/>
    </row>
    <row r="28">
      <c r="A28" s="10" t="inlineStr">
        <is>
          <t>24006</t>
        </is>
      </c>
      <c r="B28" s="10" t="inlineStr">
        <is>
          <t>Insurance</t>
        </is>
      </c>
      <c r="C28" s="10" t="inlineStr">
        <is>
          <t>Roofing</t>
        </is>
      </c>
      <c r="D28" s="10" t="inlineStr">
        <is>
          <t>St Michael</t>
        </is>
      </c>
      <c r="E28" s="10" t="inlineStr">
        <is>
          <t>Closed - Complete</t>
        </is>
      </c>
      <c r="F28" s="10" t="inlineStr">
        <is>
          <t>Lead</t>
        </is>
      </c>
      <c r="G28" s="11" t="n">
        <v>32311.67</v>
      </c>
      <c r="H28" s="11" t="n">
        <v>32311.67</v>
      </c>
      <c r="I28" s="10" t="inlineStr">
        <is>
          <t>C 25k to 50k</t>
        </is>
      </c>
      <c r="J28" s="12" t="inlineStr">
        <is>
          <t>status changed</t>
        </is>
      </c>
    </row>
    <row r="29">
      <c r="A29" s="10" t="inlineStr">
        <is>
          <t>24051</t>
        </is>
      </c>
      <c r="B29" s="10" t="inlineStr">
        <is>
          <t>Insurance</t>
        </is>
      </c>
      <c r="C29" s="10" t="inlineStr">
        <is>
          <t>Roofing</t>
        </is>
      </c>
      <c r="D29" s="10" t="inlineStr">
        <is>
          <t>Otsego</t>
        </is>
      </c>
      <c r="E29" s="10" t="inlineStr">
        <is>
          <t>Closed - Complete</t>
        </is>
      </c>
      <c r="F29" s="10" t="inlineStr">
        <is>
          <t>Inspection/Demo</t>
        </is>
      </c>
      <c r="G29" s="11" t="n">
        <v>31510</v>
      </c>
      <c r="H29" s="11" t="n">
        <v>31510</v>
      </c>
      <c r="I29" s="10" t="inlineStr">
        <is>
          <t>C 25k to 50k</t>
        </is>
      </c>
      <c r="J29" s="12" t="inlineStr">
        <is>
          <t>status changed</t>
        </is>
      </c>
    </row>
    <row r="30">
      <c r="A30" s="10" t="inlineStr">
        <is>
          <t>24034</t>
        </is>
      </c>
      <c r="B30" s="10" t="inlineStr">
        <is>
          <t>Insurance</t>
        </is>
      </c>
      <c r="C30" s="10" t="inlineStr">
        <is>
          <t>Roofing</t>
        </is>
      </c>
      <c r="D30" s="10" t="inlineStr">
        <is>
          <t>Otsego</t>
        </is>
      </c>
      <c r="E30" s="10" t="inlineStr">
        <is>
          <t>Closed - Complete</t>
        </is>
      </c>
      <c r="F30" s="10" t="inlineStr">
        <is>
          <t>Inspection/Demo</t>
        </is>
      </c>
      <c r="G30" s="11" t="n">
        <v>30614.38</v>
      </c>
      <c r="H30" s="11" t="n">
        <v>30614.38</v>
      </c>
      <c r="I30" s="10" t="inlineStr">
        <is>
          <t>C 25k to 50k</t>
        </is>
      </c>
      <c r="J30" s="12" t="inlineStr">
        <is>
          <t>status changed</t>
        </is>
      </c>
    </row>
    <row r="31">
      <c r="A31" s="10" t="inlineStr">
        <is>
          <t>24012</t>
        </is>
      </c>
      <c r="B31" s="10" t="inlineStr">
        <is>
          <t>Insurance</t>
        </is>
      </c>
      <c r="C31" s="10" t="inlineStr">
        <is>
          <t>RoofingAndSiding</t>
        </is>
      </c>
      <c r="D31" s="10" t="inlineStr">
        <is>
          <t>Manhattan Beach</t>
        </is>
      </c>
      <c r="E31" s="10" t="inlineStr">
        <is>
          <t>Closed - Complete</t>
        </is>
      </c>
      <c r="F31" s="10" t="inlineStr">
        <is>
          <t>Pre-Production</t>
        </is>
      </c>
      <c r="G31" s="11" t="n">
        <v>30400.81</v>
      </c>
      <c r="H31" s="11" t="n">
        <v>38234.91</v>
      </c>
      <c r="I31" s="10" t="inlineStr">
        <is>
          <t>C 25k to 50k</t>
        </is>
      </c>
      <c r="J31" s="12" t="inlineStr">
        <is>
          <t>status changed; sold amount revised</t>
        </is>
      </c>
    </row>
    <row r="32">
      <c r="A32" s="10" t="inlineStr">
        <is>
          <t>24019</t>
        </is>
      </c>
      <c r="B32" s="10" t="inlineStr">
        <is>
          <t>Insurance</t>
        </is>
      </c>
      <c r="C32" s="10" t="inlineStr">
        <is>
          <t>RoofingAndSiding</t>
        </is>
      </c>
      <c r="D32" s="10" t="inlineStr">
        <is>
          <t>St Michael</t>
        </is>
      </c>
      <c r="E32" s="10" t="inlineStr">
        <is>
          <t>Closed - Complete</t>
        </is>
      </c>
      <c r="F32" s="10" t="inlineStr">
        <is>
          <t>Closed - Complete</t>
        </is>
      </c>
      <c r="G32" s="11" t="n">
        <v>29439.43</v>
      </c>
      <c r="H32" s="11" t="n">
        <v>29439.43</v>
      </c>
      <c r="I32" s="10" t="inlineStr">
        <is>
          <t>C 25k to 50k</t>
        </is>
      </c>
      <c r="J32" s="12" t="inlineStr"/>
    </row>
    <row r="33">
      <c r="A33" s="10" t="inlineStr">
        <is>
          <t>24013</t>
        </is>
      </c>
      <c r="B33" s="10" t="inlineStr">
        <is>
          <t>Insurance</t>
        </is>
      </c>
      <c r="C33" s="10" t="inlineStr">
        <is>
          <t>Roofing</t>
        </is>
      </c>
      <c r="D33" s="10" t="inlineStr">
        <is>
          <t>St Michael</t>
        </is>
      </c>
      <c r="E33" s="10" t="inlineStr">
        <is>
          <t>Closed - Complete</t>
        </is>
      </c>
      <c r="F33" s="10" t="inlineStr">
        <is>
          <t>Closed - Complete</t>
        </is>
      </c>
      <c r="G33" s="11" t="n">
        <v>27899.97</v>
      </c>
      <c r="H33" s="11" t="n">
        <v>27899.97</v>
      </c>
      <c r="I33" s="10" t="inlineStr">
        <is>
          <t>C 25k to 50k</t>
        </is>
      </c>
      <c r="J33" s="12" t="inlineStr"/>
    </row>
    <row r="34">
      <c r="A34" s="10" t="inlineStr">
        <is>
          <t>24045</t>
        </is>
      </c>
      <c r="B34" s="10" t="inlineStr">
        <is>
          <t>Retail</t>
        </is>
      </c>
      <c r="C34" s="10" t="inlineStr">
        <is>
          <t>Siding</t>
        </is>
      </c>
      <c r="D34" s="10" t="inlineStr">
        <is>
          <t>Big Lake</t>
        </is>
      </c>
      <c r="E34" s="10" t="inlineStr">
        <is>
          <t>Closed - Complete</t>
        </is>
      </c>
      <c r="F34" s="10" t="inlineStr">
        <is>
          <t>Closed - Complete</t>
        </is>
      </c>
      <c r="G34" s="11" t="n">
        <v>27880.12</v>
      </c>
      <c r="H34" s="11" t="n">
        <v>27880.12</v>
      </c>
      <c r="I34" s="10" t="inlineStr">
        <is>
          <t>C 25k to 50k</t>
        </is>
      </c>
      <c r="J34" s="12" t="inlineStr"/>
    </row>
    <row r="35">
      <c r="A35" s="10" t="inlineStr">
        <is>
          <t>24029</t>
        </is>
      </c>
      <c r="B35" s="10" t="inlineStr">
        <is>
          <t>Insurance</t>
        </is>
      </c>
      <c r="C35" s="10" t="inlineStr">
        <is>
          <t>Roofing</t>
        </is>
      </c>
      <c r="D35" s="10" t="inlineStr">
        <is>
          <t>St Michael</t>
        </is>
      </c>
      <c r="E35" s="10" t="inlineStr">
        <is>
          <t>Closed - Complete</t>
        </is>
      </c>
      <c r="F35" s="10" t="inlineStr">
        <is>
          <t>Inspection/Demo</t>
        </is>
      </c>
      <c r="G35" s="11" t="n">
        <v>26951.05</v>
      </c>
      <c r="H35" s="11" t="n">
        <v>26951.05</v>
      </c>
      <c r="I35" s="10" t="inlineStr">
        <is>
          <t>C 25k to 50k</t>
        </is>
      </c>
      <c r="J35" s="12" t="inlineStr">
        <is>
          <t>status changed</t>
        </is>
      </c>
    </row>
    <row r="36">
      <c r="A36" s="10" t="inlineStr">
        <is>
          <t>24064</t>
        </is>
      </c>
      <c r="B36" s="10" t="inlineStr">
        <is>
          <t>Retail</t>
        </is>
      </c>
      <c r="C36" s="10" t="inlineStr">
        <is>
          <t>RoofingAndSiding</t>
        </is>
      </c>
      <c r="D36" s="10" t="inlineStr">
        <is>
          <t>Delano</t>
        </is>
      </c>
      <c r="E36" s="10" t="inlineStr">
        <is>
          <t>Closed - Complete</t>
        </is>
      </c>
      <c r="F36" s="10" t="inlineStr">
        <is>
          <t>Closed - Complete</t>
        </is>
      </c>
      <c r="G36" s="11" t="n">
        <v>25831.09</v>
      </c>
      <c r="H36" s="11" t="n">
        <v>25831.09</v>
      </c>
      <c r="I36" s="10" t="inlineStr">
        <is>
          <t>C 25k to 50k</t>
        </is>
      </c>
      <c r="J36" s="12" t="inlineStr"/>
    </row>
    <row r="37">
      <c r="A37" s="10" t="inlineStr">
        <is>
          <t>24033</t>
        </is>
      </c>
      <c r="B37" s="10" t="inlineStr">
        <is>
          <t>Insurance</t>
        </is>
      </c>
      <c r="C37" s="10" t="inlineStr">
        <is>
          <t>Roofing</t>
        </is>
      </c>
      <c r="D37" s="10" t="inlineStr">
        <is>
          <t>Big Lake</t>
        </is>
      </c>
      <c r="E37" s="10" t="inlineStr">
        <is>
          <t>Closed - Complete</t>
        </is>
      </c>
      <c r="F37" s="10" t="inlineStr">
        <is>
          <t>Closed - Complete</t>
        </is>
      </c>
      <c r="G37" s="11" t="n">
        <v>25147.36</v>
      </c>
      <c r="H37" s="11" t="n">
        <v>25147.36</v>
      </c>
      <c r="I37" s="10" t="inlineStr">
        <is>
          <t>C 25k to 50k</t>
        </is>
      </c>
      <c r="J37" s="12" t="inlineStr"/>
    </row>
    <row r="38">
      <c r="A38" s="10" t="inlineStr">
        <is>
          <t>24010</t>
        </is>
      </c>
      <c r="B38" s="10" t="inlineStr">
        <is>
          <t>Insurance</t>
        </is>
      </c>
      <c r="C38" s="10" t="inlineStr">
        <is>
          <t>Roofing</t>
        </is>
      </c>
      <c r="D38" s="10" t="inlineStr">
        <is>
          <t>Center City</t>
        </is>
      </c>
      <c r="E38" s="10" t="inlineStr">
        <is>
          <t>Closed - Complete</t>
        </is>
      </c>
      <c r="F38" s="10" t="inlineStr">
        <is>
          <t>Closed - Complete</t>
        </is>
      </c>
      <c r="G38" s="11" t="n">
        <v>24994.01</v>
      </c>
      <c r="H38" s="11" t="n">
        <v>24994.01</v>
      </c>
      <c r="I38" s="10" t="inlineStr">
        <is>
          <t>B 10k to 25k</t>
        </is>
      </c>
      <c r="J38" s="12" t="inlineStr"/>
    </row>
    <row r="39">
      <c r="A39" s="10" t="inlineStr">
        <is>
          <t>24042</t>
        </is>
      </c>
      <c r="B39" s="10" t="inlineStr">
        <is>
          <t>Insurance</t>
        </is>
      </c>
      <c r="C39" s="10" t="inlineStr">
        <is>
          <t>RoofingAndSiding</t>
        </is>
      </c>
      <c r="D39" s="10" t="inlineStr">
        <is>
          <t>Albertville</t>
        </is>
      </c>
      <c r="E39" s="10" t="inlineStr">
        <is>
          <t>Closed - Complete</t>
        </is>
      </c>
      <c r="F39" s="10" t="inlineStr">
        <is>
          <t>Inspection/Demo</t>
        </is>
      </c>
      <c r="G39" s="11" t="n">
        <v>24700.24</v>
      </c>
      <c r="H39" s="11" t="n">
        <v>24700.24</v>
      </c>
      <c r="I39" s="10" t="inlineStr">
        <is>
          <t>B 10k to 25k</t>
        </is>
      </c>
      <c r="J39" s="12" t="inlineStr">
        <is>
          <t>status changed</t>
        </is>
      </c>
    </row>
    <row r="40">
      <c r="A40" s="10" t="inlineStr">
        <is>
          <t>24067</t>
        </is>
      </c>
      <c r="B40" s="10" t="inlineStr">
        <is>
          <t>Retail</t>
        </is>
      </c>
      <c r="C40" s="10" t="inlineStr">
        <is>
          <t>Roofing</t>
        </is>
      </c>
      <c r="D40" s="10" t="inlineStr">
        <is>
          <t>Tower</t>
        </is>
      </c>
      <c r="E40" s="10" t="inlineStr">
        <is>
          <t>Closed - Complete</t>
        </is>
      </c>
      <c r="F40" s="10" t="inlineStr">
        <is>
          <t>Closed - Complete</t>
        </is>
      </c>
      <c r="G40" s="11" t="n">
        <v>24588.71</v>
      </c>
      <c r="H40" s="11" t="n">
        <v>24588.71</v>
      </c>
      <c r="I40" s="10" t="inlineStr">
        <is>
          <t>B 10k to 25k</t>
        </is>
      </c>
      <c r="J40" s="12" t="inlineStr"/>
    </row>
    <row r="41">
      <c r="A41" s="10" t="inlineStr">
        <is>
          <t>24016</t>
        </is>
      </c>
      <c r="B41" s="10" t="inlineStr">
        <is>
          <t>Insurance</t>
        </is>
      </c>
      <c r="C41" s="10" t="inlineStr">
        <is>
          <t>Roofing</t>
        </is>
      </c>
      <c r="D41" s="10" t="inlineStr">
        <is>
          <t>Albertville</t>
        </is>
      </c>
      <c r="E41" s="10" t="inlineStr">
        <is>
          <t>Closed - Complete</t>
        </is>
      </c>
      <c r="F41" s="10" t="inlineStr">
        <is>
          <t>Closed - Complete</t>
        </is>
      </c>
      <c r="G41" s="11" t="n">
        <v>24131.65</v>
      </c>
      <c r="H41" s="11" t="n">
        <v>24131.65</v>
      </c>
      <c r="I41" s="10" t="inlineStr">
        <is>
          <t>B 10k to 25k</t>
        </is>
      </c>
      <c r="J41" s="12" t="inlineStr"/>
    </row>
    <row r="42">
      <c r="A42" s="10" t="inlineStr">
        <is>
          <t>24037</t>
        </is>
      </c>
      <c r="B42" s="10" t="inlineStr">
        <is>
          <t>Insurance</t>
        </is>
      </c>
      <c r="C42" s="10" t="inlineStr">
        <is>
          <t>Roofing</t>
        </is>
      </c>
      <c r="D42" s="10" t="inlineStr">
        <is>
          <t>Crystal</t>
        </is>
      </c>
      <c r="E42" s="10" t="inlineStr">
        <is>
          <t>Closed - Complete</t>
        </is>
      </c>
      <c r="F42" s="10" t="inlineStr">
        <is>
          <t>Closed - Complete</t>
        </is>
      </c>
      <c r="G42" s="11" t="n">
        <v>23961.06</v>
      </c>
      <c r="H42" s="11" t="n">
        <v>23961.06</v>
      </c>
      <c r="I42" s="10" t="inlineStr">
        <is>
          <t>B 10k to 25k</t>
        </is>
      </c>
      <c r="J42" s="12" t="inlineStr"/>
    </row>
    <row r="43">
      <c r="A43" s="10" t="inlineStr">
        <is>
          <t>24055</t>
        </is>
      </c>
      <c r="B43" s="10" t="inlineStr">
        <is>
          <t>Insurance</t>
        </is>
      </c>
      <c r="C43" s="10" t="inlineStr">
        <is>
          <t>RoofingAndSiding</t>
        </is>
      </c>
      <c r="D43" s="10" t="inlineStr">
        <is>
          <t>Minneapolis</t>
        </is>
      </c>
      <c r="E43" s="10" t="inlineStr">
        <is>
          <t>Closed - Complete</t>
        </is>
      </c>
      <c r="F43" s="10" t="inlineStr">
        <is>
          <t>Inspection/Demo</t>
        </is>
      </c>
      <c r="G43" s="11" t="n">
        <v>22917.73</v>
      </c>
      <c r="H43" s="11" t="n">
        <v>22917.73</v>
      </c>
      <c r="I43" s="10" t="inlineStr">
        <is>
          <t>B 10k to 25k</t>
        </is>
      </c>
      <c r="J43" s="12" t="inlineStr">
        <is>
          <t>status changed</t>
        </is>
      </c>
    </row>
    <row r="44">
      <c r="A44" s="10" t="inlineStr">
        <is>
          <t>24038</t>
        </is>
      </c>
      <c r="B44" s="10" t="inlineStr">
        <is>
          <t>Insurance</t>
        </is>
      </c>
      <c r="C44" s="10" t="inlineStr">
        <is>
          <t>RoofingAndSiding</t>
        </is>
      </c>
      <c r="D44" s="10" t="inlineStr">
        <is>
          <t>St Michael</t>
        </is>
      </c>
      <c r="E44" s="10" t="inlineStr">
        <is>
          <t>Closed - Complete</t>
        </is>
      </c>
      <c r="F44" s="10" t="inlineStr">
        <is>
          <t>Inspection/Demo</t>
        </is>
      </c>
      <c r="G44" s="11" t="n">
        <v>22077.1</v>
      </c>
      <c r="H44" s="11" t="n">
        <v>22077.1</v>
      </c>
      <c r="I44" s="10" t="inlineStr">
        <is>
          <t>B 10k to 25k</t>
        </is>
      </c>
      <c r="J44" s="12" t="inlineStr">
        <is>
          <t>status changed</t>
        </is>
      </c>
    </row>
    <row r="45">
      <c r="A45" s="10" t="inlineStr">
        <is>
          <t>24024</t>
        </is>
      </c>
      <c r="B45" s="10" t="inlineStr">
        <is>
          <t>Insurance</t>
        </is>
      </c>
      <c r="C45" s="10" t="inlineStr">
        <is>
          <t>Roofing</t>
        </is>
      </c>
      <c r="D45" s="10" t="inlineStr">
        <is>
          <t>St Michael</t>
        </is>
      </c>
      <c r="E45" s="10" t="inlineStr">
        <is>
          <t>Closed - Complete</t>
        </is>
      </c>
      <c r="F45" s="10" t="inlineStr">
        <is>
          <t>Closed - Complete</t>
        </is>
      </c>
      <c r="G45" s="11" t="n">
        <v>21402.87</v>
      </c>
      <c r="H45" s="11" t="n">
        <v>21402.87</v>
      </c>
      <c r="I45" s="10" t="inlineStr">
        <is>
          <t>B 10k to 25k</t>
        </is>
      </c>
      <c r="J45" s="12" t="inlineStr"/>
    </row>
    <row r="46">
      <c r="A46" s="10" t="inlineStr">
        <is>
          <t>24070</t>
        </is>
      </c>
      <c r="B46" s="10" t="inlineStr">
        <is>
          <t>Insurance</t>
        </is>
      </c>
      <c r="C46" s="10" t="inlineStr">
        <is>
          <t>RoofingAndSiding</t>
        </is>
      </c>
      <c r="D46" s="10" t="inlineStr">
        <is>
          <t>Albertville</t>
        </is>
      </c>
      <c r="E46" s="10" t="inlineStr">
        <is>
          <t>Closed - Complete</t>
        </is>
      </c>
      <c r="F46" s="10" t="inlineStr">
        <is>
          <t>Closed - Complete</t>
        </is>
      </c>
      <c r="G46" s="11" t="n">
        <v>21087</v>
      </c>
      <c r="H46" s="11" t="n">
        <v>21087</v>
      </c>
      <c r="I46" s="10" t="inlineStr">
        <is>
          <t>B 10k to 25k</t>
        </is>
      </c>
      <c r="J46" s="12" t="inlineStr"/>
    </row>
    <row r="47">
      <c r="A47" s="10" t="inlineStr">
        <is>
          <t>24085</t>
        </is>
      </c>
      <c r="B47" s="10" t="inlineStr">
        <is>
          <t>Insurance</t>
        </is>
      </c>
      <c r="C47" s="10" t="inlineStr">
        <is>
          <t>Unknown</t>
        </is>
      </c>
      <c r="D47" s="10" t="inlineStr">
        <is>
          <t>St Cloud</t>
        </is>
      </c>
      <c r="E47" s="10" t="inlineStr">
        <is>
          <t>Production</t>
        </is>
      </c>
      <c r="F47" s="10" t="inlineStr">
        <is>
          <t>(not in 8/25 book)</t>
        </is>
      </c>
      <c r="G47" s="11" t="n">
        <v>20158</v>
      </c>
      <c r="H47" s="11" t="n"/>
      <c r="I47" s="10" t="inlineStr">
        <is>
          <t>B 10k to 25k</t>
        </is>
      </c>
      <c r="J47" s="12" t="inlineStr">
        <is>
          <t>new to the book since 2026-08-25</t>
        </is>
      </c>
    </row>
    <row r="48">
      <c r="A48" s="10" t="inlineStr">
        <is>
          <t>24075</t>
        </is>
      </c>
      <c r="B48" s="10" t="inlineStr">
        <is>
          <t>Insurance</t>
        </is>
      </c>
      <c r="C48" s="10" t="inlineStr">
        <is>
          <t>Roofing</t>
        </is>
      </c>
      <c r="D48" s="10" t="inlineStr">
        <is>
          <t>Buffalo</t>
        </is>
      </c>
      <c r="E48" s="10" t="inlineStr">
        <is>
          <t>Pre-Production</t>
        </is>
      </c>
      <c r="F48" s="10" t="inlineStr">
        <is>
          <t>Pre-Production</t>
        </is>
      </c>
      <c r="G48" s="11" t="n">
        <v>20136.19</v>
      </c>
      <c r="H48" s="11" t="n">
        <v>20136.19</v>
      </c>
      <c r="I48" s="10" t="inlineStr">
        <is>
          <t>B 10k to 25k</t>
        </is>
      </c>
      <c r="J48" s="12" t="inlineStr"/>
    </row>
    <row r="49">
      <c r="A49" s="10" t="inlineStr">
        <is>
          <t>24015</t>
        </is>
      </c>
      <c r="B49" s="10" t="inlineStr">
        <is>
          <t>Insurance</t>
        </is>
      </c>
      <c r="C49" s="10" t="inlineStr">
        <is>
          <t>Roofing</t>
        </is>
      </c>
      <c r="D49" s="10" t="inlineStr">
        <is>
          <t>Albertville</t>
        </is>
      </c>
      <c r="E49" s="10" t="inlineStr">
        <is>
          <t>Closed - Complete</t>
        </is>
      </c>
      <c r="F49" s="10" t="inlineStr">
        <is>
          <t>Closed - Complete</t>
        </is>
      </c>
      <c r="G49" s="11" t="n">
        <v>19725.27</v>
      </c>
      <c r="H49" s="11" t="n">
        <v>19725.27</v>
      </c>
      <c r="I49" s="10" t="inlineStr">
        <is>
          <t>B 10k to 25k</t>
        </is>
      </c>
      <c r="J49" s="12" t="inlineStr"/>
    </row>
    <row r="50">
      <c r="A50" s="10" t="inlineStr">
        <is>
          <t>24043</t>
        </is>
      </c>
      <c r="B50" s="10" t="inlineStr">
        <is>
          <t>Insurance</t>
        </is>
      </c>
      <c r="C50" s="10" t="inlineStr">
        <is>
          <t>Roofing</t>
        </is>
      </c>
      <c r="D50" s="10" t="inlineStr">
        <is>
          <t>St Michael</t>
        </is>
      </c>
      <c r="E50" s="10" t="inlineStr">
        <is>
          <t>Closed - Complete</t>
        </is>
      </c>
      <c r="F50" s="10" t="inlineStr">
        <is>
          <t>Closed - Complete</t>
        </is>
      </c>
      <c r="G50" s="11" t="n">
        <v>19607.11</v>
      </c>
      <c r="H50" s="11" t="n">
        <v>19607.11</v>
      </c>
      <c r="I50" s="10" t="inlineStr">
        <is>
          <t>B 10k to 25k</t>
        </is>
      </c>
      <c r="J50" s="12" t="inlineStr"/>
    </row>
    <row r="51">
      <c r="A51" s="10" t="inlineStr">
        <is>
          <t>24065</t>
        </is>
      </c>
      <c r="B51" s="10" t="inlineStr">
        <is>
          <t>Retail</t>
        </is>
      </c>
      <c r="C51" s="10" t="inlineStr">
        <is>
          <t>RoofingAndSiding</t>
        </is>
      </c>
      <c r="D51" s="10" t="inlineStr">
        <is>
          <t>Maple Lake</t>
        </is>
      </c>
      <c r="E51" s="10" t="inlineStr">
        <is>
          <t>Closed - Complete</t>
        </is>
      </c>
      <c r="F51" s="10" t="inlineStr">
        <is>
          <t>Closed - Complete</t>
        </is>
      </c>
      <c r="G51" s="11" t="n">
        <v>18382.21</v>
      </c>
      <c r="H51" s="11" t="n">
        <v>18382.21</v>
      </c>
      <c r="I51" s="10" t="inlineStr">
        <is>
          <t>B 10k to 25k</t>
        </is>
      </c>
      <c r="J51" s="12" t="inlineStr"/>
    </row>
    <row r="52">
      <c r="A52" s="10" t="inlineStr">
        <is>
          <t>24079</t>
        </is>
      </c>
      <c r="B52" s="10" t="inlineStr">
        <is>
          <t>Insurance</t>
        </is>
      </c>
      <c r="C52" s="10" t="inlineStr">
        <is>
          <t>Roofing</t>
        </is>
      </c>
      <c r="D52" s="10" t="inlineStr">
        <is>
          <t>Monticello</t>
        </is>
      </c>
      <c r="E52" s="10" t="inlineStr">
        <is>
          <t>Post-Production</t>
        </is>
      </c>
      <c r="F52" s="10" t="inlineStr">
        <is>
          <t>Post-Production</t>
        </is>
      </c>
      <c r="G52" s="11" t="n">
        <v>18143.85</v>
      </c>
      <c r="H52" s="11" t="n">
        <v>15911.16</v>
      </c>
      <c r="I52" s="10" t="inlineStr">
        <is>
          <t>B 10k to 25k</t>
        </is>
      </c>
      <c r="J52" s="12" t="inlineStr">
        <is>
          <t>sold amount revised</t>
        </is>
      </c>
    </row>
    <row r="53">
      <c r="A53" s="10" t="inlineStr">
        <is>
          <t>24069</t>
        </is>
      </c>
      <c r="B53" s="10" t="inlineStr">
        <is>
          <t>Retail</t>
        </is>
      </c>
      <c r="C53" s="10" t="inlineStr">
        <is>
          <t>Roofing</t>
        </is>
      </c>
      <c r="D53" s="10" t="inlineStr">
        <is>
          <t>Maple Lake</t>
        </is>
      </c>
      <c r="E53" s="10" t="inlineStr">
        <is>
          <t>Closed - Complete</t>
        </is>
      </c>
      <c r="F53" s="10" t="inlineStr">
        <is>
          <t>Closed - Complete</t>
        </is>
      </c>
      <c r="G53" s="11" t="n">
        <v>17876.54</v>
      </c>
      <c r="H53" s="11" t="n">
        <v>17876.54</v>
      </c>
      <c r="I53" s="10" t="inlineStr">
        <is>
          <t>B 10k to 25k</t>
        </is>
      </c>
      <c r="J53" s="12" t="inlineStr"/>
    </row>
    <row r="54">
      <c r="A54" s="10" t="inlineStr">
        <is>
          <t>24018</t>
        </is>
      </c>
      <c r="B54" s="10" t="inlineStr">
        <is>
          <t>Insurance</t>
        </is>
      </c>
      <c r="C54" s="10" t="inlineStr">
        <is>
          <t>Roofing</t>
        </is>
      </c>
      <c r="D54" s="10" t="inlineStr">
        <is>
          <t>Big Lake</t>
        </is>
      </c>
      <c r="E54" s="10" t="inlineStr">
        <is>
          <t>Closed - Complete</t>
        </is>
      </c>
      <c r="F54" s="10" t="inlineStr">
        <is>
          <t>Closed - Complete</t>
        </is>
      </c>
      <c r="G54" s="11" t="n">
        <v>17008.17</v>
      </c>
      <c r="H54" s="11" t="n">
        <v>17008.17</v>
      </c>
      <c r="I54" s="10" t="inlineStr">
        <is>
          <t>B 10k to 25k</t>
        </is>
      </c>
      <c r="J54" s="12" t="inlineStr"/>
    </row>
    <row r="55">
      <c r="A55" s="10" t="inlineStr">
        <is>
          <t>24035</t>
        </is>
      </c>
      <c r="B55" s="10" t="inlineStr">
        <is>
          <t>Retail</t>
        </is>
      </c>
      <c r="C55" s="10" t="inlineStr">
        <is>
          <t>Roofing</t>
        </is>
      </c>
      <c r="D55" s="10" t="inlineStr">
        <is>
          <t>Onamia</t>
        </is>
      </c>
      <c r="E55" s="10" t="inlineStr">
        <is>
          <t>Closed - Complete</t>
        </is>
      </c>
      <c r="F55" s="10" t="inlineStr">
        <is>
          <t>Closed - Complete</t>
        </is>
      </c>
      <c r="G55" s="11" t="n">
        <v>16898</v>
      </c>
      <c r="H55" s="11" t="n">
        <v>16898</v>
      </c>
      <c r="I55" s="10" t="inlineStr">
        <is>
          <t>B 10k to 25k</t>
        </is>
      </c>
      <c r="J55" s="12" t="inlineStr"/>
    </row>
    <row r="56">
      <c r="A56" s="10" t="inlineStr">
        <is>
          <t>24017</t>
        </is>
      </c>
      <c r="B56" s="10" t="inlineStr">
        <is>
          <t>Insurance</t>
        </is>
      </c>
      <c r="C56" s="10" t="inlineStr">
        <is>
          <t>Roofing</t>
        </is>
      </c>
      <c r="D56" s="10" t="inlineStr">
        <is>
          <t>St Michael</t>
        </is>
      </c>
      <c r="E56" s="10" t="inlineStr">
        <is>
          <t>Closed - Complete</t>
        </is>
      </c>
      <c r="F56" s="10" t="inlineStr">
        <is>
          <t>Closed - Complete</t>
        </is>
      </c>
      <c r="G56" s="11" t="n">
        <v>16843.06</v>
      </c>
      <c r="H56" s="11" t="n">
        <v>16843.06</v>
      </c>
      <c r="I56" s="10" t="inlineStr">
        <is>
          <t>B 10k to 25k</t>
        </is>
      </c>
      <c r="J56" s="12" t="inlineStr"/>
    </row>
    <row r="57">
      <c r="A57" s="10" t="inlineStr">
        <is>
          <t>24054</t>
        </is>
      </c>
      <c r="B57" s="10" t="inlineStr">
        <is>
          <t>Retail</t>
        </is>
      </c>
      <c r="C57" s="10" t="inlineStr">
        <is>
          <t>RoofingAndSiding</t>
        </is>
      </c>
      <c r="D57" s="10" t="inlineStr">
        <is>
          <t>St Michael</t>
        </is>
      </c>
      <c r="E57" s="10" t="inlineStr">
        <is>
          <t>Closed - Complete</t>
        </is>
      </c>
      <c r="F57" s="10" t="inlineStr">
        <is>
          <t>Closed - Complete</t>
        </is>
      </c>
      <c r="G57" s="11" t="n">
        <v>16810.55</v>
      </c>
      <c r="H57" s="11" t="n">
        <v>16810.55</v>
      </c>
      <c r="I57" s="10" t="inlineStr">
        <is>
          <t>B 10k to 25k</t>
        </is>
      </c>
      <c r="J57" s="12" t="inlineStr"/>
    </row>
    <row r="58">
      <c r="A58" s="10" t="inlineStr">
        <is>
          <t>24014</t>
        </is>
      </c>
      <c r="B58" s="10" t="inlineStr">
        <is>
          <t>Insurance</t>
        </is>
      </c>
      <c r="C58" s="10" t="inlineStr">
        <is>
          <t>Roofing</t>
        </is>
      </c>
      <c r="D58" s="10" t="inlineStr">
        <is>
          <t>Forest Lake</t>
        </is>
      </c>
      <c r="E58" s="10" t="inlineStr">
        <is>
          <t>Closed - Complete</t>
        </is>
      </c>
      <c r="F58" s="10" t="inlineStr">
        <is>
          <t>Closed - Complete</t>
        </is>
      </c>
      <c r="G58" s="11" t="n">
        <v>16401.72</v>
      </c>
      <c r="H58" s="11" t="n">
        <v>16401.72</v>
      </c>
      <c r="I58" s="10" t="inlineStr">
        <is>
          <t>B 10k to 25k</t>
        </is>
      </c>
      <c r="J58" s="12" t="inlineStr"/>
    </row>
    <row r="59">
      <c r="A59" s="10" t="inlineStr">
        <is>
          <t>24086</t>
        </is>
      </c>
      <c r="B59" s="10" t="inlineStr">
        <is>
          <t>Insurance</t>
        </is>
      </c>
      <c r="C59" s="10" t="inlineStr">
        <is>
          <t>Unknown</t>
        </is>
      </c>
      <c r="D59" s="10" t="inlineStr">
        <is>
          <t>St Cloud</t>
        </is>
      </c>
      <c r="E59" s="10" t="inlineStr">
        <is>
          <t>Production</t>
        </is>
      </c>
      <c r="F59" s="10" t="inlineStr">
        <is>
          <t>(not in 8/25 book)</t>
        </is>
      </c>
      <c r="G59" s="11" t="n">
        <v>16224.53</v>
      </c>
      <c r="H59" s="11" t="n"/>
      <c r="I59" s="10" t="inlineStr">
        <is>
          <t>B 10k to 25k</t>
        </is>
      </c>
      <c r="J59" s="12" t="inlineStr">
        <is>
          <t>new to the book since 2026-08-25</t>
        </is>
      </c>
    </row>
    <row r="60">
      <c r="A60" s="10" t="inlineStr">
        <is>
          <t>24036</t>
        </is>
      </c>
      <c r="B60" s="10" t="inlineStr">
        <is>
          <t>Retail</t>
        </is>
      </c>
      <c r="C60" s="10" t="inlineStr">
        <is>
          <t>Roofing</t>
        </is>
      </c>
      <c r="D60" s="10" t="inlineStr">
        <is>
          <t>Monticello</t>
        </is>
      </c>
      <c r="E60" s="10" t="inlineStr">
        <is>
          <t>Closed - Complete</t>
        </is>
      </c>
      <c r="F60" s="10" t="inlineStr">
        <is>
          <t>Closed - Complete</t>
        </is>
      </c>
      <c r="G60" s="11" t="n">
        <v>15352.71</v>
      </c>
      <c r="H60" s="11" t="n">
        <v>15352.71</v>
      </c>
      <c r="I60" s="10" t="inlineStr">
        <is>
          <t>B 10k to 25k</t>
        </is>
      </c>
      <c r="J60" s="12" t="inlineStr"/>
    </row>
    <row r="61">
      <c r="A61" s="10" t="inlineStr">
        <is>
          <t>24052</t>
        </is>
      </c>
      <c r="B61" s="10" t="inlineStr">
        <is>
          <t>Retail</t>
        </is>
      </c>
      <c r="C61" s="10" t="inlineStr">
        <is>
          <t>Roofing</t>
        </is>
      </c>
      <c r="D61" s="10" t="inlineStr">
        <is>
          <t>Minneapolis</t>
        </is>
      </c>
      <c r="E61" s="10" t="inlineStr">
        <is>
          <t>Closed - Complete</t>
        </is>
      </c>
      <c r="F61" s="10" t="inlineStr">
        <is>
          <t>Closed - Complete</t>
        </is>
      </c>
      <c r="G61" s="11" t="n">
        <v>13000</v>
      </c>
      <c r="H61" s="11" t="n">
        <v>13000</v>
      </c>
      <c r="I61" s="10" t="inlineStr">
        <is>
          <t>B 10k to 25k</t>
        </is>
      </c>
      <c r="J61" s="12" t="inlineStr"/>
    </row>
    <row r="62">
      <c r="A62" s="10" t="inlineStr">
        <is>
          <t>24025</t>
        </is>
      </c>
      <c r="B62" s="10" t="inlineStr">
        <is>
          <t>Retail</t>
        </is>
      </c>
      <c r="C62" s="10" t="inlineStr">
        <is>
          <t>Roofing</t>
        </is>
      </c>
      <c r="D62" s="10" t="inlineStr">
        <is>
          <t>Manhattan Beach</t>
        </is>
      </c>
      <c r="E62" s="10" t="inlineStr">
        <is>
          <t>Closed - Complete</t>
        </is>
      </c>
      <c r="F62" s="10" t="inlineStr">
        <is>
          <t>Closed - Complete</t>
        </is>
      </c>
      <c r="G62" s="11" t="n">
        <v>12996.42</v>
      </c>
      <c r="H62" s="11" t="n">
        <v>12996.42</v>
      </c>
      <c r="I62" s="10" t="inlineStr">
        <is>
          <t>B 10k to 25k</t>
        </is>
      </c>
      <c r="J62" s="12" t="inlineStr"/>
    </row>
    <row r="63">
      <c r="A63" s="10" t="inlineStr">
        <is>
          <t>24032</t>
        </is>
      </c>
      <c r="B63" s="10" t="inlineStr">
        <is>
          <t>Retail</t>
        </is>
      </c>
      <c r="C63" s="10" t="inlineStr">
        <is>
          <t>Roofing</t>
        </is>
      </c>
      <c r="D63" s="10" t="inlineStr">
        <is>
          <t>St Michael</t>
        </is>
      </c>
      <c r="E63" s="10" t="inlineStr">
        <is>
          <t>Closed - Complete</t>
        </is>
      </c>
      <c r="F63" s="10" t="inlineStr">
        <is>
          <t>Production</t>
        </is>
      </c>
      <c r="G63" s="11" t="n">
        <v>12548.36</v>
      </c>
      <c r="H63" s="11" t="n">
        <v>12548.36</v>
      </c>
      <c r="I63" s="10" t="inlineStr">
        <is>
          <t>B 10k to 25k</t>
        </is>
      </c>
      <c r="J63" s="12" t="inlineStr">
        <is>
          <t>status changed</t>
        </is>
      </c>
    </row>
    <row r="64">
      <c r="A64" s="10" t="inlineStr">
        <is>
          <t>24008</t>
        </is>
      </c>
      <c r="B64" s="10" t="inlineStr">
        <is>
          <t>Insurance</t>
        </is>
      </c>
      <c r="C64" s="10" t="inlineStr">
        <is>
          <t>Roofing</t>
        </is>
      </c>
      <c r="D64" s="10" t="inlineStr">
        <is>
          <t>Manhattan Beach</t>
        </is>
      </c>
      <c r="E64" s="10" t="inlineStr">
        <is>
          <t>Closed - Complete</t>
        </is>
      </c>
      <c r="F64" s="10" t="inlineStr">
        <is>
          <t>Closed - Complete</t>
        </is>
      </c>
      <c r="G64" s="11" t="n">
        <v>11832.05</v>
      </c>
      <c r="H64" s="11" t="n">
        <v>11832.05</v>
      </c>
      <c r="I64" s="10" t="inlineStr">
        <is>
          <t>B 10k to 25k</t>
        </is>
      </c>
      <c r="J64" s="12" t="inlineStr"/>
    </row>
    <row r="65">
      <c r="A65" s="10" t="inlineStr">
        <is>
          <t>24077</t>
        </is>
      </c>
      <c r="B65" s="10" t="inlineStr">
        <is>
          <t>Retail</t>
        </is>
      </c>
      <c r="C65" s="10" t="inlineStr">
        <is>
          <t>Roofing</t>
        </is>
      </c>
      <c r="D65" s="10" t="inlineStr">
        <is>
          <t>Ogilvie</t>
        </is>
      </c>
      <c r="E65" s="10" t="inlineStr">
        <is>
          <t>Production</t>
        </is>
      </c>
      <c r="F65" s="10" t="inlineStr">
        <is>
          <t>Production</t>
        </is>
      </c>
      <c r="G65" s="11" t="n">
        <v>11083.4</v>
      </c>
      <c r="H65" s="11" t="n">
        <v>11083.4</v>
      </c>
      <c r="I65" s="10" t="inlineStr">
        <is>
          <t>B 10k to 25k</t>
        </is>
      </c>
      <c r="J65" s="12" t="inlineStr"/>
    </row>
    <row r="66">
      <c r="A66" s="10" t="inlineStr">
        <is>
          <t>24002</t>
        </is>
      </c>
      <c r="B66" s="10" t="inlineStr">
        <is>
          <t>Insurance</t>
        </is>
      </c>
      <c r="C66" s="10" t="inlineStr">
        <is>
          <t>Roofing</t>
        </is>
      </c>
      <c r="D66" s="10" t="inlineStr">
        <is>
          <t>Dellwood</t>
        </is>
      </c>
      <c r="E66" s="10" t="inlineStr">
        <is>
          <t>Closed - Complete</t>
        </is>
      </c>
      <c r="F66" s="10" t="inlineStr">
        <is>
          <t>Closed - Complete</t>
        </is>
      </c>
      <c r="G66" s="11" t="n">
        <v>10844.08</v>
      </c>
      <c r="H66" s="11" t="n">
        <v>10844.08</v>
      </c>
      <c r="I66" s="10" t="inlineStr">
        <is>
          <t>B 10k to 25k</t>
        </is>
      </c>
      <c r="J66" s="12" t="inlineStr"/>
    </row>
    <row r="67">
      <c r="A67" s="10" t="inlineStr">
        <is>
          <t>24060</t>
        </is>
      </c>
      <c r="B67" s="10" t="inlineStr">
        <is>
          <t>Retail</t>
        </is>
      </c>
      <c r="C67" s="10" t="inlineStr">
        <is>
          <t>RoofingAndSiding</t>
        </is>
      </c>
      <c r="D67" s="10" t="inlineStr">
        <is>
          <t>Kimball</t>
        </is>
      </c>
      <c r="E67" s="10" t="inlineStr">
        <is>
          <t>Closed - Complete</t>
        </is>
      </c>
      <c r="F67" s="10" t="inlineStr">
        <is>
          <t>Closed - Complete</t>
        </is>
      </c>
      <c r="G67" s="11" t="n">
        <v>10506</v>
      </c>
      <c r="H67" s="11" t="n">
        <v>10506</v>
      </c>
      <c r="I67" s="10" t="inlineStr">
        <is>
          <t>B 10k to 25k</t>
        </is>
      </c>
      <c r="J67" s="12" t="inlineStr"/>
    </row>
    <row r="68">
      <c r="A68" s="10" t="inlineStr">
        <is>
          <t>24072</t>
        </is>
      </c>
      <c r="B68" s="10" t="inlineStr">
        <is>
          <t>Retail</t>
        </is>
      </c>
      <c r="C68" s="10" t="inlineStr">
        <is>
          <t>Roofing</t>
        </is>
      </c>
      <c r="D68" s="10" t="inlineStr">
        <is>
          <t>St Paul</t>
        </is>
      </c>
      <c r="E68" s="10" t="inlineStr">
        <is>
          <t>Closed - Complete</t>
        </is>
      </c>
      <c r="F68" s="10" t="inlineStr">
        <is>
          <t>Closed - Complete</t>
        </is>
      </c>
      <c r="G68" s="11" t="n">
        <v>10172.83</v>
      </c>
      <c r="H68" s="11" t="n">
        <v>10172.83</v>
      </c>
      <c r="I68" s="10" t="inlineStr">
        <is>
          <t>B 10k to 25k</t>
        </is>
      </c>
      <c r="J68" s="12" t="inlineStr"/>
    </row>
    <row r="69">
      <c r="A69" s="10" t="inlineStr">
        <is>
          <t>24058</t>
        </is>
      </c>
      <c r="B69" s="10" t="inlineStr">
        <is>
          <t>Retail</t>
        </is>
      </c>
      <c r="C69" s="10" t="inlineStr">
        <is>
          <t>RoofingAndSiding</t>
        </is>
      </c>
      <c r="D69" s="10" t="inlineStr">
        <is>
          <t>St Michael</t>
        </is>
      </c>
      <c r="E69" s="10" t="inlineStr">
        <is>
          <t>Closed - Complete</t>
        </is>
      </c>
      <c r="F69" s="10" t="inlineStr">
        <is>
          <t>Closed - Complete</t>
        </is>
      </c>
      <c r="G69" s="11" t="n">
        <v>8802</v>
      </c>
      <c r="H69" s="11" t="n">
        <v>8802</v>
      </c>
      <c r="I69" s="10" t="inlineStr">
        <is>
          <t>A under 10k</t>
        </is>
      </c>
      <c r="J69" s="12" t="inlineStr"/>
    </row>
    <row r="70">
      <c r="A70" s="10" t="inlineStr">
        <is>
          <t>24011</t>
        </is>
      </c>
      <c r="B70" s="10" t="inlineStr">
        <is>
          <t>Retail</t>
        </is>
      </c>
      <c r="C70" s="10" t="inlineStr">
        <is>
          <t>Roofing</t>
        </is>
      </c>
      <c r="D70" s="10" t="inlineStr">
        <is>
          <t>Crosslake</t>
        </is>
      </c>
      <c r="E70" s="10" t="inlineStr">
        <is>
          <t>Closed - Complete</t>
        </is>
      </c>
      <c r="F70" s="10" t="inlineStr">
        <is>
          <t>Closed - Complete</t>
        </is>
      </c>
      <c r="G70" s="11" t="n">
        <v>8700</v>
      </c>
      <c r="H70" s="11" t="n">
        <v>8700</v>
      </c>
      <c r="I70" s="10" t="inlineStr">
        <is>
          <t>A under 10k</t>
        </is>
      </c>
      <c r="J70" s="12" t="inlineStr"/>
    </row>
    <row r="71">
      <c r="A71" s="10" t="inlineStr">
        <is>
          <t>24066</t>
        </is>
      </c>
      <c r="B71" s="10" t="inlineStr">
        <is>
          <t>Insurance</t>
        </is>
      </c>
      <c r="C71" s="10" t="inlineStr">
        <is>
          <t>Roofing</t>
        </is>
      </c>
      <c r="D71" s="10" t="inlineStr">
        <is>
          <t>Monticello</t>
        </is>
      </c>
      <c r="E71" s="10" t="inlineStr">
        <is>
          <t>Closed - Complete</t>
        </is>
      </c>
      <c r="F71" s="10" t="inlineStr">
        <is>
          <t>Closed - Complete</t>
        </is>
      </c>
      <c r="G71" s="11" t="n">
        <v>8545.610000000001</v>
      </c>
      <c r="H71" s="11" t="n">
        <v>8545.610000000001</v>
      </c>
      <c r="I71" s="10" t="inlineStr">
        <is>
          <t>A under 10k</t>
        </is>
      </c>
      <c r="J71" s="12" t="inlineStr"/>
    </row>
    <row r="72">
      <c r="A72" s="10" t="inlineStr">
        <is>
          <t>24063</t>
        </is>
      </c>
      <c r="B72" s="10" t="inlineStr">
        <is>
          <t>Retail</t>
        </is>
      </c>
      <c r="C72" s="10" t="inlineStr">
        <is>
          <t>Roofing</t>
        </is>
      </c>
      <c r="D72" s="10" t="inlineStr">
        <is>
          <t>Buffalo</t>
        </is>
      </c>
      <c r="E72" s="10" t="inlineStr">
        <is>
          <t>Closed - Complete</t>
        </is>
      </c>
      <c r="F72" s="10" t="inlineStr">
        <is>
          <t>Closed - Complete</t>
        </is>
      </c>
      <c r="G72" s="11" t="n">
        <v>8000</v>
      </c>
      <c r="H72" s="11" t="n">
        <v>8000</v>
      </c>
      <c r="I72" s="10" t="inlineStr">
        <is>
          <t>A under 10k</t>
        </is>
      </c>
      <c r="J72" s="12" t="inlineStr"/>
    </row>
    <row r="73">
      <c r="A73" s="10" t="inlineStr">
        <is>
          <t>24056</t>
        </is>
      </c>
      <c r="B73" s="10" t="inlineStr">
        <is>
          <t>Retail</t>
        </is>
      </c>
      <c r="C73" s="10" t="inlineStr">
        <is>
          <t>Roofing</t>
        </is>
      </c>
      <c r="D73" s="10" t="inlineStr">
        <is>
          <t>Big Lake</t>
        </is>
      </c>
      <c r="E73" s="10" t="inlineStr">
        <is>
          <t>Closed - Complete</t>
        </is>
      </c>
      <c r="F73" s="10" t="inlineStr">
        <is>
          <t>Closed - Complete</t>
        </is>
      </c>
      <c r="G73" s="11" t="n">
        <v>7788</v>
      </c>
      <c r="H73" s="11" t="n">
        <v>7788</v>
      </c>
      <c r="I73" s="10" t="inlineStr">
        <is>
          <t>A under 10k</t>
        </is>
      </c>
      <c r="J73" s="12" t="inlineStr"/>
    </row>
    <row r="74">
      <c r="A74" s="10" t="inlineStr">
        <is>
          <t>24057</t>
        </is>
      </c>
      <c r="B74" s="10" t="inlineStr">
        <is>
          <t>Retail</t>
        </is>
      </c>
      <c r="C74" s="10" t="inlineStr">
        <is>
          <t>RoofingAndSiding</t>
        </is>
      </c>
      <c r="D74" s="10" t="inlineStr">
        <is>
          <t>Annandale</t>
        </is>
      </c>
      <c r="E74" s="10" t="inlineStr">
        <is>
          <t>Closed - Complete</t>
        </is>
      </c>
      <c r="F74" s="10" t="inlineStr">
        <is>
          <t>Closed - Complete</t>
        </is>
      </c>
      <c r="G74" s="11" t="n">
        <v>6800</v>
      </c>
      <c r="H74" s="11" t="n">
        <v>6800</v>
      </c>
      <c r="I74" s="10" t="inlineStr">
        <is>
          <t>A under 10k</t>
        </is>
      </c>
      <c r="J74" s="12" t="inlineStr"/>
    </row>
    <row r="75">
      <c r="A75" s="10" t="inlineStr">
        <is>
          <t>24076</t>
        </is>
      </c>
      <c r="B75" s="10" t="inlineStr">
        <is>
          <t>Retail</t>
        </is>
      </c>
      <c r="C75" s="10" t="inlineStr">
        <is>
          <t>RoofingAndSiding</t>
        </is>
      </c>
      <c r="D75" s="10" t="inlineStr">
        <is>
          <t>Annandale</t>
        </is>
      </c>
      <c r="E75" s="10" t="inlineStr">
        <is>
          <t>Closed Pending</t>
        </is>
      </c>
      <c r="F75" s="10" t="inlineStr">
        <is>
          <t>Closed Pending</t>
        </is>
      </c>
      <c r="G75" s="11" t="n">
        <v>6413</v>
      </c>
      <c r="H75" s="11" t="n">
        <v>6413</v>
      </c>
      <c r="I75" s="10" t="inlineStr">
        <is>
          <t>A under 10k</t>
        </is>
      </c>
      <c r="J75" s="12" t="inlineStr"/>
    </row>
    <row r="76">
      <c r="A76" s="10" t="inlineStr">
        <is>
          <t>24061</t>
        </is>
      </c>
      <c r="B76" s="10" t="inlineStr">
        <is>
          <t>Retail</t>
        </is>
      </c>
      <c r="C76" s="10" t="inlineStr">
        <is>
          <t>Roofing</t>
        </is>
      </c>
      <c r="D76" s="10" t="inlineStr">
        <is>
          <t>Albertville</t>
        </is>
      </c>
      <c r="E76" s="10" t="inlineStr">
        <is>
          <t>Closed - Complete</t>
        </is>
      </c>
      <c r="F76" s="10" t="inlineStr">
        <is>
          <t>Closed - Complete</t>
        </is>
      </c>
      <c r="G76" s="11" t="n">
        <v>6300</v>
      </c>
      <c r="H76" s="11" t="n">
        <v>6300</v>
      </c>
      <c r="I76" s="10" t="inlineStr">
        <is>
          <t>A under 10k</t>
        </is>
      </c>
      <c r="J76" s="12" t="inlineStr"/>
    </row>
    <row r="77">
      <c r="A77" s="10" t="inlineStr">
        <is>
          <t>24053</t>
        </is>
      </c>
      <c r="B77" s="10" t="inlineStr">
        <is>
          <t>Retail</t>
        </is>
      </c>
      <c r="C77" s="10" t="inlineStr">
        <is>
          <t>RoofingAndSiding</t>
        </is>
      </c>
      <c r="D77" s="10" t="inlineStr">
        <is>
          <t>Albertville</t>
        </is>
      </c>
      <c r="E77" s="10" t="inlineStr">
        <is>
          <t>Closed - Complete</t>
        </is>
      </c>
      <c r="F77" s="10" t="inlineStr">
        <is>
          <t>Cancelled</t>
        </is>
      </c>
      <c r="G77" s="11" t="n">
        <v>5424.59</v>
      </c>
      <c r="H77" s="11" t="n">
        <v>5424.59</v>
      </c>
      <c r="I77" s="10" t="inlineStr">
        <is>
          <t>A under 10k</t>
        </is>
      </c>
      <c r="J77" s="12" t="inlineStr">
        <is>
          <t>status changed</t>
        </is>
      </c>
    </row>
    <row r="78">
      <c r="A78" s="10" t="inlineStr">
        <is>
          <t>24062</t>
        </is>
      </c>
      <c r="B78" s="10" t="inlineStr">
        <is>
          <t>Insurance</t>
        </is>
      </c>
      <c r="C78" s="10" t="inlineStr">
        <is>
          <t>RoofingAndSiding</t>
        </is>
      </c>
      <c r="D78" s="10" t="inlineStr">
        <is>
          <t>Buffalo</t>
        </is>
      </c>
      <c r="E78" s="10" t="inlineStr">
        <is>
          <t>Closed - Complete</t>
        </is>
      </c>
      <c r="F78" s="10" t="inlineStr">
        <is>
          <t>Inspection/Demo</t>
        </is>
      </c>
      <c r="G78" s="11" t="n">
        <v>3464.06</v>
      </c>
      <c r="H78" s="11" t="n">
        <v>3464.06</v>
      </c>
      <c r="I78" s="10" t="inlineStr">
        <is>
          <t>A under 10k</t>
        </is>
      </c>
      <c r="J78" s="12" t="inlineStr">
        <is>
          <t>status changed</t>
        </is>
      </c>
    </row>
    <row r="79">
      <c r="A79" s="10" t="inlineStr">
        <is>
          <t>24001</t>
        </is>
      </c>
      <c r="B79" s="10" t="inlineStr">
        <is>
          <t>Retail</t>
        </is>
      </c>
      <c r="C79" s="10" t="inlineStr">
        <is>
          <t>Roofing</t>
        </is>
      </c>
      <c r="D79" s="10" t="inlineStr">
        <is>
          <t>Maple Plain</t>
        </is>
      </c>
      <c r="E79" s="10" t="inlineStr">
        <is>
          <t>Closed - Complete</t>
        </is>
      </c>
      <c r="F79" s="10" t="inlineStr">
        <is>
          <t>Closed - Complete</t>
        </is>
      </c>
      <c r="G79" s="11" t="n">
        <v>3100</v>
      </c>
      <c r="H79" s="11" t="n">
        <v>3100</v>
      </c>
      <c r="I79" s="10" t="inlineStr">
        <is>
          <t>A under 10k</t>
        </is>
      </c>
      <c r="J79" s="12" t="inlineStr"/>
    </row>
    <row r="80">
      <c r="A80" s="10" t="inlineStr">
        <is>
          <t>24087</t>
        </is>
      </c>
      <c r="B80" s="10" t="inlineStr">
        <is>
          <t>Retail</t>
        </is>
      </c>
      <c r="C80" s="10" t="inlineStr">
        <is>
          <t>Unknown</t>
        </is>
      </c>
      <c r="D80" s="10" t="inlineStr">
        <is>
          <t>Buffalo</t>
        </is>
      </c>
      <c r="E80" s="10" t="inlineStr">
        <is>
          <t>Contract Signed</t>
        </is>
      </c>
      <c r="F80" s="10" t="inlineStr">
        <is>
          <t>(not in 8/25 book)</t>
        </is>
      </c>
      <c r="G80" s="11" t="n">
        <v>2888</v>
      </c>
      <c r="H80" s="11" t="n"/>
      <c r="I80" s="10" t="inlineStr">
        <is>
          <t>A under 10k</t>
        </is>
      </c>
      <c r="J80" s="12" t="inlineStr">
        <is>
          <t>new to the book since 2026-08-25</t>
        </is>
      </c>
    </row>
    <row r="81">
      <c r="A81" s="10" t="inlineStr">
        <is>
          <t>24078</t>
        </is>
      </c>
      <c r="B81" s="10" t="inlineStr">
        <is>
          <t>Retail</t>
        </is>
      </c>
      <c r="C81" s="10" t="inlineStr">
        <is>
          <t>Roofing</t>
        </is>
      </c>
      <c r="D81" s="10" t="inlineStr">
        <is>
          <t>Otsego</t>
        </is>
      </c>
      <c r="E81" s="10" t="inlineStr">
        <is>
          <t>Closed - Complete</t>
        </is>
      </c>
      <c r="F81" s="10" t="inlineStr">
        <is>
          <t>Closed - Complete</t>
        </is>
      </c>
      <c r="G81" s="11" t="n">
        <v>2200</v>
      </c>
      <c r="H81" s="11" t="n">
        <v>2200</v>
      </c>
      <c r="I81" s="10" t="inlineStr">
        <is>
          <t>A under 10k</t>
        </is>
      </c>
      <c r="J81" s="12" t="inlineStr"/>
    </row>
    <row r="82">
      <c r="A82" s="10" t="inlineStr">
        <is>
          <t>24040</t>
        </is>
      </c>
      <c r="B82" s="10" t="inlineStr">
        <is>
          <t>Retail</t>
        </is>
      </c>
      <c r="C82" s="10" t="inlineStr">
        <is>
          <t>RoofingAndSiding</t>
        </is>
      </c>
      <c r="D82" s="10" t="inlineStr">
        <is>
          <t>Otsego</t>
        </is>
      </c>
      <c r="E82" s="10" t="inlineStr">
        <is>
          <t>Closed - Complete</t>
        </is>
      </c>
      <c r="F82" s="10" t="inlineStr">
        <is>
          <t>Closed - Complete</t>
        </is>
      </c>
      <c r="G82" s="11" t="n">
        <v>2058.04</v>
      </c>
      <c r="H82" s="11" t="n">
        <v>2058.04</v>
      </c>
      <c r="I82" s="10" t="inlineStr">
        <is>
          <t>A under 10k</t>
        </is>
      </c>
      <c r="J82" s="12" t="inlineStr"/>
    </row>
    <row r="83">
      <c r="A83" s="10" t="inlineStr">
        <is>
          <t>24028</t>
        </is>
      </c>
      <c r="B83" s="10" t="inlineStr">
        <is>
          <t>Retail</t>
        </is>
      </c>
      <c r="C83" s="10" t="inlineStr">
        <is>
          <t>Siding</t>
        </is>
      </c>
      <c r="D83" s="10" t="inlineStr">
        <is>
          <t>New Hope</t>
        </is>
      </c>
      <c r="E83" s="10" t="inlineStr">
        <is>
          <t>Closed - Complete</t>
        </is>
      </c>
      <c r="F83" s="10" t="inlineStr">
        <is>
          <t>Closed - Complete</t>
        </is>
      </c>
      <c r="G83" s="11" t="n">
        <v>1875</v>
      </c>
      <c r="H83" s="11" t="n">
        <v>1875</v>
      </c>
      <c r="I83" s="10" t="inlineStr">
        <is>
          <t>A under 10k</t>
        </is>
      </c>
      <c r="J83" s="12" t="inlineStr"/>
    </row>
    <row r="84">
      <c r="A84" s="10" t="inlineStr">
        <is>
          <t>24021</t>
        </is>
      </c>
      <c r="B84" s="10" t="inlineStr">
        <is>
          <t>Retail</t>
        </is>
      </c>
      <c r="C84" s="10" t="inlineStr">
        <is>
          <t>Roofing</t>
        </is>
      </c>
      <c r="D84" s="10" t="inlineStr">
        <is>
          <t>Cobden</t>
        </is>
      </c>
      <c r="E84" s="10" t="inlineStr">
        <is>
          <t>Closed - Complete</t>
        </is>
      </c>
      <c r="F84" s="10" t="inlineStr">
        <is>
          <t>Closed - Complete</t>
        </is>
      </c>
      <c r="G84" s="11" t="n">
        <v>1100</v>
      </c>
      <c r="H84" s="11" t="n">
        <v>1100</v>
      </c>
      <c r="I84" s="10" t="inlineStr">
        <is>
          <t>A under 10k</t>
        </is>
      </c>
      <c r="J84" s="12" t="inlineStr"/>
    </row>
    <row r="85">
      <c r="A85" s="10" t="inlineStr">
        <is>
          <t>24050</t>
        </is>
      </c>
      <c r="B85" s="10" t="inlineStr">
        <is>
          <t>Insurance</t>
        </is>
      </c>
      <c r="C85" s="10" t="inlineStr">
        <is>
          <t>Roofing</t>
        </is>
      </c>
      <c r="D85" s="10" t="inlineStr">
        <is>
          <t>South Haven</t>
        </is>
      </c>
      <c r="E85" s="10" t="inlineStr">
        <is>
          <t>Closed - Complete</t>
        </is>
      </c>
      <c r="F85" s="10" t="inlineStr">
        <is>
          <t>Lead</t>
        </is>
      </c>
      <c r="G85" s="11" t="n">
        <v>925</v>
      </c>
      <c r="H85" s="11" t="n">
        <v>925</v>
      </c>
      <c r="I85" s="10" t="inlineStr">
        <is>
          <t>A under 10k</t>
        </is>
      </c>
      <c r="J85" s="12" t="inlineStr">
        <is>
          <t>status changed</t>
        </is>
      </c>
    </row>
    <row r="86">
      <c r="A86" s="10" t="inlineStr">
        <is>
          <t>24000</t>
        </is>
      </c>
      <c r="B86" s="10" t="inlineStr">
        <is>
          <t>Retail</t>
        </is>
      </c>
      <c r="C86" s="10" t="inlineStr">
        <is>
          <t>Roofing</t>
        </is>
      </c>
      <c r="D86" s="10" t="inlineStr">
        <is>
          <t>St. Michael</t>
        </is>
      </c>
      <c r="E86" s="10" t="inlineStr">
        <is>
          <t>Cancelled</t>
        </is>
      </c>
      <c r="F86" s="10" t="inlineStr">
        <is>
          <t>Cancelled</t>
        </is>
      </c>
      <c r="G86" s="11" t="n"/>
      <c r="H86" s="11" t="n"/>
      <c r="I86" s="10" t="inlineStr">
        <is>
          <t>A under 10k</t>
        </is>
      </c>
      <c r="J86" s="12" t="inlineStr">
        <is>
          <t>ZeroSold</t>
        </is>
      </c>
    </row>
    <row r="87">
      <c r="A87" s="10" t="inlineStr">
        <is>
          <t>24027</t>
        </is>
      </c>
      <c r="B87" s="10" t="inlineStr">
        <is>
          <t>Insurance</t>
        </is>
      </c>
      <c r="C87" s="10" t="inlineStr">
        <is>
          <t>Unknown</t>
        </is>
      </c>
      <c r="D87" s="10" t="inlineStr">
        <is>
          <t>Monticello</t>
        </is>
      </c>
      <c r="E87" s="10" t="inlineStr">
        <is>
          <t>Closed - Complete</t>
        </is>
      </c>
      <c r="F87" s="10" t="inlineStr">
        <is>
          <t>Closed - Complete</t>
        </is>
      </c>
      <c r="G87" s="11" t="n"/>
      <c r="H87" s="11" t="n"/>
      <c r="I87" s="10" t="inlineStr">
        <is>
          <t>A under 10k</t>
        </is>
      </c>
      <c r="J87" s="12" t="inlineStr">
        <is>
          <t>ZeroSold</t>
        </is>
      </c>
    </row>
    <row r="88">
      <c r="A88" s="10" t="inlineStr">
        <is>
          <t>24046</t>
        </is>
      </c>
      <c r="B88" s="10" t="inlineStr">
        <is>
          <t>Retail</t>
        </is>
      </c>
      <c r="C88" s="10" t="inlineStr">
        <is>
          <t>Roofing</t>
        </is>
      </c>
      <c r="D88" s="10" t="inlineStr">
        <is>
          <t>Princeton</t>
        </is>
      </c>
      <c r="E88" s="10" t="inlineStr">
        <is>
          <t>Closed - Complete</t>
        </is>
      </c>
      <c r="F88" s="10" t="inlineStr">
        <is>
          <t>Closed - Complete</t>
        </is>
      </c>
      <c r="G88" s="11" t="n"/>
      <c r="H88" s="11" t="n"/>
      <c r="I88" s="10" t="inlineStr">
        <is>
          <t>A under 10k</t>
        </is>
      </c>
      <c r="J88" s="12" t="inlineStr">
        <is>
          <t>ZeroSold</t>
        </is>
      </c>
    </row>
    <row r="89">
      <c r="A89" s="10" t="inlineStr">
        <is>
          <t>24080</t>
        </is>
      </c>
      <c r="B89" s="10" t="inlineStr">
        <is>
          <t>Retail</t>
        </is>
      </c>
      <c r="C89" s="10" t="inlineStr">
        <is>
          <t>Roofing</t>
        </is>
      </c>
      <c r="D89" s="10" t="inlineStr">
        <is>
          <t>Rogers</t>
        </is>
      </c>
      <c r="E89" s="10" t="inlineStr">
        <is>
          <t>Post-Production</t>
        </is>
      </c>
      <c r="F89" s="10" t="inlineStr">
        <is>
          <t>Lead</t>
        </is>
      </c>
      <c r="G89" s="11" t="n"/>
      <c r="H89" s="11" t="n"/>
      <c r="I89" s="10" t="inlineStr">
        <is>
          <t>A under 10k</t>
        </is>
      </c>
      <c r="J89" s="12" t="inlineStr">
        <is>
          <t>ZeroSold; status changed</t>
        </is>
      </c>
    </row>
    <row r="90">
      <c r="A90" s="10" t="inlineStr">
        <is>
          <t>24081</t>
        </is>
      </c>
      <c r="B90" s="10" t="inlineStr">
        <is>
          <t>Retail</t>
        </is>
      </c>
      <c r="C90" s="10" t="inlineStr">
        <is>
          <t>Roofing</t>
        </is>
      </c>
      <c r="D90" s="10" t="inlineStr">
        <is>
          <t>Rogers</t>
        </is>
      </c>
      <c r="E90" s="10" t="inlineStr">
        <is>
          <t>Lead</t>
        </is>
      </c>
      <c r="F90" s="10" t="inlineStr">
        <is>
          <t>Lead</t>
        </is>
      </c>
      <c r="G90" s="11" t="n"/>
      <c r="H90" s="11" t="n"/>
      <c r="I90" s="10" t="inlineStr">
        <is>
          <t>A under 10k</t>
        </is>
      </c>
      <c r="J90" s="12" t="inlineStr">
        <is>
          <t>ZeroSold</t>
        </is>
      </c>
    </row>
    <row r="91">
      <c r="A91" s="10" t="inlineStr">
        <is>
          <t>24082</t>
        </is>
      </c>
      <c r="B91" s="10" t="inlineStr">
        <is>
          <t>Retail</t>
        </is>
      </c>
      <c r="C91" s="10" t="inlineStr">
        <is>
          <t>Siding</t>
        </is>
      </c>
      <c r="D91" s="10" t="inlineStr">
        <is>
          <t>Otsego</t>
        </is>
      </c>
      <c r="E91" s="10" t="inlineStr">
        <is>
          <t>Lead</t>
        </is>
      </c>
      <c r="F91" s="10" t="inlineStr">
        <is>
          <t>Lead</t>
        </is>
      </c>
      <c r="G91" s="11" t="n"/>
      <c r="H91" s="11" t="n"/>
      <c r="I91" s="10" t="inlineStr">
        <is>
          <t>A under 10k</t>
        </is>
      </c>
      <c r="J91" s="12" t="inlineStr">
        <is>
          <t>ZeroSold</t>
        </is>
      </c>
    </row>
    <row r="92">
      <c r="A92" s="10" t="inlineStr">
        <is>
          <t>24084</t>
        </is>
      </c>
      <c r="B92" s="10" t="inlineStr">
        <is>
          <t>Retail</t>
        </is>
      </c>
      <c r="C92" s="10" t="inlineStr">
        <is>
          <t>Unknown</t>
        </is>
      </c>
      <c r="D92" s="10" t="inlineStr">
        <is>
          <t>White Bear Lake</t>
        </is>
      </c>
      <c r="E92" s="10" t="inlineStr">
        <is>
          <t>Lead</t>
        </is>
      </c>
      <c r="F92" s="10" t="inlineStr">
        <is>
          <t>(not in 8/25 book)</t>
        </is>
      </c>
      <c r="G92" s="11" t="n"/>
      <c r="H92" s="11" t="n"/>
      <c r="I92" s="10" t="inlineStr">
        <is>
          <t>A under 10k</t>
        </is>
      </c>
      <c r="J92" s="12" t="inlineStr">
        <is>
          <t>LoadedProspectRecord_NotAnOrganicJob</t>
        </is>
      </c>
    </row>
    <row r="94">
      <c r="A94" s="2" t="inlineStr">
        <is>
          <t>SIZE BAND ROLLUP (sold jobs, outlier held out)</t>
        </is>
      </c>
    </row>
    <row r="95">
      <c r="A95" s="9" t="inlineStr">
        <is>
          <t>Size Band</t>
        </is>
      </c>
      <c r="B95" s="9" t="inlineStr">
        <is>
          <t>Jobs</t>
        </is>
      </c>
      <c r="C95" s="9" t="inlineStr">
        <is>
          <t>Total sold $</t>
        </is>
      </c>
      <c r="D95" s="9" t="inlineStr">
        <is>
          <t>Mean $</t>
        </is>
      </c>
    </row>
    <row r="96">
      <c r="A96" s="10" t="inlineStr">
        <is>
          <t>A under 10k</t>
        </is>
      </c>
      <c r="B96" s="10" t="n">
        <v>17</v>
      </c>
      <c r="C96" s="11" t="n">
        <v>84383.3</v>
      </c>
      <c r="D96" s="11" t="n">
        <v>4963.723529411765</v>
      </c>
    </row>
    <row r="97">
      <c r="A97" s="10" t="inlineStr">
        <is>
          <t>B 10k to 25k</t>
        </is>
      </c>
      <c r="B97" s="10" t="n">
        <v>31</v>
      </c>
      <c r="C97" s="11" t="n">
        <v>552411.42</v>
      </c>
      <c r="D97" s="11" t="n">
        <v>17819.72322580645</v>
      </c>
    </row>
    <row r="98">
      <c r="A98" s="10" t="inlineStr">
        <is>
          <t>C 25k to 50k</t>
        </is>
      </c>
      <c r="B98" s="10" t="n">
        <v>19</v>
      </c>
      <c r="C98" s="11" t="n">
        <v>637209.17</v>
      </c>
      <c r="D98" s="11" t="n">
        <v>33537.32473684211</v>
      </c>
    </row>
    <row r="99">
      <c r="A99" s="10" t="inlineStr">
        <is>
          <t>D 50k to 100k</t>
        </is>
      </c>
      <c r="B99" s="10" t="n">
        <v>9</v>
      </c>
      <c r="C99" s="11" t="n">
        <v>566086.17</v>
      </c>
      <c r="D99" s="11" t="n">
        <v>62898.46333333333</v>
      </c>
    </row>
    <row r="100">
      <c r="A100" s="10" t="inlineStr">
        <is>
          <t>E 100k plus</t>
        </is>
      </c>
      <c r="B100" s="10" t="n">
        <v>4</v>
      </c>
      <c r="C100" s="11" t="n">
        <v>552437.79</v>
      </c>
      <c r="D100" s="11" t="n">
        <v>138109.4475</v>
      </c>
    </row>
    <row r="102">
      <c r="A102" s="3" t="inlineStr">
        <is>
          <t>Totals: 80 sold jobs, $2,392,528 of contract value, excluding job 24026.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9"/>
  <sheetViews>
    <sheetView showGridLines="0" workbookViewId="0">
      <selection activeCell="A1" sqref="A1"/>
    </sheetView>
  </sheetViews>
  <sheetFormatPr baseColWidth="8" defaultRowHeight="15"/>
  <cols>
    <col width="9" customWidth="1" min="1" max="1"/>
    <col width="11" customWidth="1" min="2" max="2"/>
    <col width="17" customWidth="1" min="3" max="3"/>
    <col width="14" customWidth="1" min="4" max="4"/>
    <col width="13" customWidth="1" min="5" max="5"/>
    <col width="15" customWidth="1" min="6" max="6"/>
    <col width="13" customWidth="1" min="7" max="7"/>
    <col width="13" customWidth="1" min="8" max="8"/>
    <col width="14" customWidth="1" min="9" max="9"/>
    <col width="13" customWidth="1" min="10" max="10"/>
  </cols>
  <sheetData>
    <row r="1">
      <c r="A1" s="1" t="inlineStr">
        <is>
          <t>The 8 jobs with a real captured cost (labor + material)</t>
        </is>
      </c>
    </row>
    <row r="2">
      <c r="A2" s="3" t="inlineStr">
        <is>
          <t>These are the ONLY jobs where a labor cost was ever captured against the job. None of them carries a square count, so they cannot feed the per-square curve - but they are the only true gross-margin readings that exist.</t>
        </is>
      </c>
    </row>
    <row r="4">
      <c r="A4" s="9" t="inlineStr">
        <is>
          <t>CRM Job</t>
        </is>
      </c>
      <c r="B4" s="9" t="inlineStr">
        <is>
          <t>Channel</t>
        </is>
      </c>
      <c r="C4" s="9" t="inlineStr">
        <is>
          <t>Trade</t>
        </is>
      </c>
      <c r="D4" s="9" t="inlineStr">
        <is>
          <t>City</t>
        </is>
      </c>
      <c r="E4" s="9" t="inlineStr">
        <is>
          <t>Sold $</t>
        </is>
      </c>
      <c r="F4" s="9" t="inlineStr">
        <is>
          <t>Material cost $</t>
        </is>
      </c>
      <c r="G4" s="9" t="inlineStr">
        <is>
          <t>Labor cost $</t>
        </is>
      </c>
      <c r="H4" s="9" t="inlineStr">
        <is>
          <t>Total cost $</t>
        </is>
      </c>
      <c r="I4" s="9" t="inlineStr">
        <is>
          <t>Gross profit $</t>
        </is>
      </c>
      <c r="J4" s="9" t="inlineStr">
        <is>
          <t>Gross margin %</t>
        </is>
      </c>
    </row>
    <row r="5">
      <c r="A5" s="10" t="inlineStr">
        <is>
          <t>24009</t>
        </is>
      </c>
      <c r="B5" s="10" t="inlineStr">
        <is>
          <t>Insurance</t>
        </is>
      </c>
      <c r="C5" s="10" t="inlineStr">
        <is>
          <t>Roofing</t>
        </is>
      </c>
      <c r="D5" s="10" t="inlineStr">
        <is>
          <t>Crosslake</t>
        </is>
      </c>
      <c r="E5" s="11" t="n">
        <v>61075.57</v>
      </c>
      <c r="F5" s="11" t="n">
        <v>20300</v>
      </c>
      <c r="G5" s="11" t="n">
        <v>10700</v>
      </c>
      <c r="H5" s="11" t="n">
        <v>34000</v>
      </c>
      <c r="I5" s="11" t="n">
        <v>27075.57</v>
      </c>
      <c r="J5" s="22" t="n">
        <v>0.4433</v>
      </c>
    </row>
    <row r="6">
      <c r="A6" s="10" t="inlineStr">
        <is>
          <t>24020</t>
        </is>
      </c>
      <c r="B6" s="10" t="inlineStr">
        <is>
          <t>Retail</t>
        </is>
      </c>
      <c r="C6" s="10" t="inlineStr">
        <is>
          <t>Roofing</t>
        </is>
      </c>
      <c r="D6" s="10" t="inlineStr">
        <is>
          <t>Breezy Point</t>
        </is>
      </c>
      <c r="E6" s="11" t="n">
        <v>39206.94</v>
      </c>
      <c r="F6" s="11" t="n">
        <v>16145.91</v>
      </c>
      <c r="G6" s="11" t="n">
        <v>8930</v>
      </c>
      <c r="H6" s="11" t="n">
        <v>25075.91</v>
      </c>
      <c r="I6" s="11" t="n">
        <v>14131.03</v>
      </c>
      <c r="J6" s="22" t="n">
        <v>0.3604</v>
      </c>
    </row>
    <row r="7">
      <c r="A7" s="10" t="inlineStr">
        <is>
          <t>24005</t>
        </is>
      </c>
      <c r="B7" s="10" t="inlineStr">
        <is>
          <t>Insurance</t>
        </is>
      </c>
      <c r="C7" s="10" t="inlineStr">
        <is>
          <t>Roofing</t>
        </is>
      </c>
      <c r="D7" s="10" t="inlineStr">
        <is>
          <t>Manhattan Beach</t>
        </is>
      </c>
      <c r="E7" s="11" t="n">
        <v>35085.88</v>
      </c>
      <c r="F7" s="11" t="n">
        <v>8608.26</v>
      </c>
      <c r="G7" s="11" t="n">
        <v>10150</v>
      </c>
      <c r="H7" s="11" t="n">
        <v>20143.26</v>
      </c>
      <c r="I7" s="11" t="n">
        <v>14942.62</v>
      </c>
      <c r="J7" s="22" t="n">
        <v>0.4259000000000001</v>
      </c>
    </row>
    <row r="8">
      <c r="A8" s="10" t="inlineStr">
        <is>
          <t>24064</t>
        </is>
      </c>
      <c r="B8" s="10" t="inlineStr">
        <is>
          <t>Retail</t>
        </is>
      </c>
      <c r="C8" s="10" t="inlineStr">
        <is>
          <t>RoofingAndSiding</t>
        </is>
      </c>
      <c r="D8" s="10" t="inlineStr">
        <is>
          <t>Delano</t>
        </is>
      </c>
      <c r="E8" s="11" t="n">
        <v>25831.09</v>
      </c>
      <c r="F8" s="11" t="n">
        <v>5453.64</v>
      </c>
      <c r="G8" s="11" t="n">
        <v>11410</v>
      </c>
      <c r="H8" s="11" t="n">
        <v>16863.64</v>
      </c>
      <c r="I8" s="11" t="n">
        <v>8967.450000000001</v>
      </c>
      <c r="J8" s="22" t="n">
        <v>0.3472</v>
      </c>
    </row>
    <row r="9">
      <c r="A9" s="10" t="inlineStr">
        <is>
          <t>24008</t>
        </is>
      </c>
      <c r="B9" s="10" t="inlineStr">
        <is>
          <t>Insurance</t>
        </is>
      </c>
      <c r="C9" s="10" t="inlineStr">
        <is>
          <t>Roofing</t>
        </is>
      </c>
      <c r="D9" s="10" t="inlineStr">
        <is>
          <t>Manhattan Beach</t>
        </is>
      </c>
      <c r="E9" s="11" t="n">
        <v>11832.05</v>
      </c>
      <c r="F9" s="11" t="n">
        <v>3105.3</v>
      </c>
      <c r="G9" s="11" t="n">
        <v>3282</v>
      </c>
      <c r="H9" s="11" t="n">
        <v>6387.3</v>
      </c>
      <c r="I9" s="11" t="n">
        <v>5444.75</v>
      </c>
      <c r="J9" s="22" t="n">
        <v>0.4602000000000001</v>
      </c>
    </row>
    <row r="10">
      <c r="A10" s="10" t="inlineStr">
        <is>
          <t>24060</t>
        </is>
      </c>
      <c r="B10" s="10" t="inlineStr">
        <is>
          <t>Retail</t>
        </is>
      </c>
      <c r="C10" s="10" t="inlineStr">
        <is>
          <t>RoofingAndSiding</t>
        </is>
      </c>
      <c r="D10" s="10" t="inlineStr">
        <is>
          <t>Kimball</t>
        </is>
      </c>
      <c r="E10" s="11" t="n">
        <v>10506</v>
      </c>
      <c r="F10" s="11" t="n">
        <v>0</v>
      </c>
      <c r="G10" s="11" t="n">
        <v>3974.08</v>
      </c>
      <c r="H10" s="11" t="n">
        <v>3974.08</v>
      </c>
      <c r="I10" s="11" t="n">
        <v>6531.92</v>
      </c>
      <c r="J10" s="22" t="n">
        <v>0.6217</v>
      </c>
    </row>
    <row r="11">
      <c r="A11" s="10" t="inlineStr">
        <is>
          <t>24066</t>
        </is>
      </c>
      <c r="B11" s="10" t="inlineStr">
        <is>
          <t>Insurance</t>
        </is>
      </c>
      <c r="C11" s="10" t="inlineStr">
        <is>
          <t>Roofing</t>
        </is>
      </c>
      <c r="D11" s="10" t="inlineStr">
        <is>
          <t>Monticello</t>
        </is>
      </c>
      <c r="E11" s="11" t="n">
        <v>8545.610000000001</v>
      </c>
      <c r="F11" s="11" t="n">
        <v>3080.46</v>
      </c>
      <c r="G11" s="11" t="n">
        <v>2222.6</v>
      </c>
      <c r="H11" s="11" t="n">
        <v>5303.06</v>
      </c>
      <c r="I11" s="11" t="n">
        <v>3242.55</v>
      </c>
      <c r="J11" s="22" t="n">
        <v>0.3794</v>
      </c>
    </row>
    <row r="12">
      <c r="A12" s="10" t="inlineStr">
        <is>
          <t>24063</t>
        </is>
      </c>
      <c r="B12" s="10" t="inlineStr">
        <is>
          <t>Retail</t>
        </is>
      </c>
      <c r="C12" s="10" t="inlineStr">
        <is>
          <t>Roofing</t>
        </is>
      </c>
      <c r="D12" s="10" t="inlineStr">
        <is>
          <t>Buffalo</t>
        </is>
      </c>
      <c r="E12" s="11" t="n">
        <v>8000</v>
      </c>
      <c r="F12" s="11" t="n">
        <v>5905.18</v>
      </c>
      <c r="G12" s="11" t="n">
        <v>500</v>
      </c>
      <c r="H12" s="11" t="n">
        <v>6405.18</v>
      </c>
      <c r="I12" s="11" t="n">
        <v>1594.82</v>
      </c>
      <c r="J12" s="22" t="n">
        <v>0.1994</v>
      </c>
    </row>
    <row r="14">
      <c r="A14" s="4" t="inlineStr">
        <is>
          <t>Median gross margin (8 jobs)</t>
        </is>
      </c>
      <c r="J14" s="23" t="n">
        <v>0.40265</v>
      </c>
    </row>
    <row r="15">
      <c r="A15" s="4" t="inlineStr">
        <is>
          <t>Range</t>
        </is>
      </c>
      <c r="J15" s="24" t="inlineStr">
        <is>
          <t>20% - 62%</t>
        </is>
      </c>
    </row>
    <row r="17">
      <c r="A17" s="3" t="inlineStr">
        <is>
          <t>Note: the CRM's DEFAULT estimate hardcodes a 65% expense (35% gross profit) on every contract. These 8 measured jobs show real gross profit running 20% to 62% - the 35% default is a placeholder, not their economics.</t>
        </is>
      </c>
    </row>
    <row r="19">
      <c r="A19" s="3" t="inlineStr">
        <is>
          <t>This set did NOT grow in the 2026-09-04 refresh. Cost capture is not available through the CRM's reporting interface, and of the 70 work orders on file, 1 carries an estimated labor cost and 0 carry an actual one. Until a labor number is entered on the work order, this tab stays at 8 jobs.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0"/>
  <sheetViews>
    <sheetView showGridLines="0" workbookViewId="0">
      <selection activeCell="A1" sqref="A1"/>
    </sheetView>
  </sheetViews>
  <sheetFormatPr baseColWidth="8" defaultRowHeight="15"/>
  <cols>
    <col width="22" customWidth="1" min="1" max="1"/>
    <col width="6" customWidth="1" min="2" max="2"/>
  </cols>
  <sheetData>
    <row r="1">
      <c r="A1" s="1" t="inlineStr">
        <is>
          <t>Close Rate: what the data can and cannot say</t>
        </is>
      </c>
    </row>
    <row r="3">
      <c r="A3" s="2" t="inlineStr">
        <is>
          <t>Verdict</t>
        </is>
      </c>
      <c r="B3" s="25" t="inlineStr">
        <is>
          <t>A marketing close rate (leads won divided by leads worked) still CANNOT be reliably computed from the current data.</t>
        </is>
      </c>
    </row>
    <row r="5">
      <c r="A5" s="2" t="inlineStr">
        <is>
          <t>Why</t>
        </is>
      </c>
      <c r="B5" s="14" t="inlineStr">
        <is>
          <t>1. 83 of the 88 numbered jobs came in by referral (1 from Facebook, 4 not recorded). There is no marketing-driven lead funnel to measure against.</t>
        </is>
      </c>
    </row>
    <row r="6">
      <c r="B6" s="14" t="inlineStr">
        <is>
          <t>2. The job book holds work that already became a project. It does not hold the bids that were quoted and lost in a way that ties to a denominator.</t>
        </is>
      </c>
    </row>
    <row r="7">
      <c r="B7" s="14" t="inlineStr">
        <is>
          <t>3. The cancelled/lost list and the lead list do not reconcile: most cancelled rows carry no job number at all.</t>
        </is>
      </c>
    </row>
    <row r="8">
      <c r="B8" s="14" t="inlineStr">
        <is>
          <t>4. 42 records sit in Lead, Prospect or Estimate/Proposal status - undecided, so they cannot count as won or lost yet.</t>
        </is>
      </c>
    </row>
    <row r="10">
      <c r="A10" s="2" t="inlineStr">
        <is>
          <t>What we DO have</t>
        </is>
      </c>
      <c r="B10" s="14" t="inlineStr">
        <is>
          <t>81 sold jobs and 33 documented lost/cancelled records, on the live status field as of 2026-09-04.</t>
        </is>
      </c>
    </row>
    <row r="11">
      <c r="B11" s="14" t="inlineStr">
        <is>
          <t>A crude directional disposition rate, treating those two piles as the whole decided universe: 81 / (81 + 33) = 71%.</t>
        </is>
      </c>
    </row>
    <row r="12">
      <c r="B12" s="26" t="inlineStr">
        <is>
          <t>Treat that as a loose upper bound only - the open records and the untracked bids are not in it, and it mixes insurance and retail.</t>
        </is>
      </c>
    </row>
    <row r="14">
      <c r="A14" s="2" t="inlineStr">
        <is>
          <t>What changed</t>
        </is>
      </c>
      <c r="B14" s="14" t="inlineStr">
        <is>
          <t>On the 2026-09-02 edition this read 78 / (78 + 34) = 70%. One job previously marked cancelled as an unqualified lead (24053) has since been completed and billed at $5,425,</t>
        </is>
      </c>
    </row>
    <row r="15">
      <c r="B15" s="14" t="inlineStr">
        <is>
          <t>and three jobs signed on 2026-09-01 joined the sold side. The rate moved by about a point. It is still not a close rate.</t>
        </is>
      </c>
    </row>
    <row r="17">
      <c r="A17" s="2" t="inlineStr">
        <is>
          <t>Not counted here</t>
        </is>
      </c>
      <c r="B17" s="14" t="inlineStr">
        <is>
          <t>131 prospect records loaded into the CRM on 2026-08-31 as a commercial and insurance-agency target list, plus 2 test/demo records, are excluded from every count on this tab.</t>
        </is>
      </c>
    </row>
    <row r="18">
      <c r="B18" s="26" t="inlineStr">
        <is>
          <t>They are a marketing list, not leads that were worked. Counting them would make the close rate look far worse than reality.</t>
        </is>
      </c>
    </row>
    <row r="20">
      <c r="A20" s="2" t="inlineStr">
        <is>
          <t>To compute it for real</t>
        </is>
      </c>
      <c r="B20" s="14" t="inlineStr">
        <is>
          <t>Log EVERY bid at the estimate stage with a consistent job number, a final outcome (won / lost / open) and a lead source.</t>
        </is>
      </c>
    </row>
    <row r="21">
      <c r="B21" s="14" t="inlineStr">
        <is>
          <t>Then close rate = won / (won + lost) by source, which is the number the marketing budget actually needs.</t>
        </is>
      </c>
    </row>
    <row r="23">
      <c r="A23" s="2" t="inlineStr">
        <is>
          <t>LIVE STATUS OF EVERY ORGANIC RECORD (2026-09-04)</t>
        </is>
      </c>
    </row>
    <row r="24">
      <c r="A24" s="9" t="inlineStr">
        <is>
          <t>Status</t>
        </is>
      </c>
      <c r="B24" s="9" t="inlineStr">
        <is>
          <t>Records</t>
        </is>
      </c>
    </row>
    <row r="25">
      <c r="A25" s="10" t="inlineStr">
        <is>
          <t>Closed - Complete</t>
        </is>
      </c>
      <c r="B25" s="10" t="n">
        <v>77</v>
      </c>
    </row>
    <row r="26">
      <c r="A26" s="10" t="inlineStr">
        <is>
          <t>Lead</t>
        </is>
      </c>
      <c r="B26" s="10" t="n">
        <v>40</v>
      </c>
    </row>
    <row r="27">
      <c r="A27" s="10" t="inlineStr">
        <is>
          <t>Cancelled</t>
        </is>
      </c>
      <c r="B27" s="10" t="n">
        <v>33</v>
      </c>
    </row>
    <row r="28">
      <c r="A28" s="10" t="inlineStr">
        <is>
          <t>Production</t>
        </is>
      </c>
      <c r="B28" s="10" t="n">
        <v>3</v>
      </c>
    </row>
    <row r="29">
      <c r="A29" s="10" t="inlineStr">
        <is>
          <t>Post-Production</t>
        </is>
      </c>
      <c r="B29" s="10" t="n">
        <v>2</v>
      </c>
    </row>
    <row r="30">
      <c r="A30" s="10" t="inlineStr">
        <is>
          <t>Estimate/Proposal</t>
        </is>
      </c>
      <c r="B30" s="10" t="n">
        <v>2</v>
      </c>
    </row>
    <row r="31">
      <c r="A31" s="10" t="inlineStr">
        <is>
          <t>Contract Signed</t>
        </is>
      </c>
      <c r="B31" s="10" t="n">
        <v>2</v>
      </c>
    </row>
    <row r="32">
      <c r="A32" s="10" t="inlineStr">
        <is>
          <t>Inspection/Demo</t>
        </is>
      </c>
      <c r="B32" s="10" t="n">
        <v>1</v>
      </c>
    </row>
    <row r="33">
      <c r="A33" s="10" t="inlineStr">
        <is>
          <t>Closed Pending</t>
        </is>
      </c>
      <c r="B33" s="10" t="n">
        <v>1</v>
      </c>
    </row>
    <row r="34">
      <c r="A34" s="10" t="inlineStr">
        <is>
          <t>Pre-Production</t>
        </is>
      </c>
      <c r="B34" s="10" t="n">
        <v>1</v>
      </c>
    </row>
    <row r="36">
      <c r="A36" s="3" t="inlineStr">
        <is>
          <t>162 organic records. Excludes the 131 loaded prospects and 2 test records described above.</t>
        </is>
      </c>
    </row>
    <row r="38">
      <c r="A38" s="2" t="inlineStr">
        <is>
          <t>DOCUMENTED LOST DEALS, BY REASON</t>
        </is>
      </c>
    </row>
    <row r="39">
      <c r="A39" s="9" t="inlineStr">
        <is>
          <t>Reason</t>
        </is>
      </c>
      <c r="B39" s="9" t="inlineStr">
        <is>
          <t>Count</t>
        </is>
      </c>
    </row>
    <row r="40">
      <c r="A40" s="10" t="inlineStr">
        <is>
          <t>Lost to competition</t>
        </is>
      </c>
      <c r="B40" s="10" t="n">
        <v>10</v>
      </c>
    </row>
    <row r="41">
      <c r="A41" s="10" t="inlineStr">
        <is>
          <t>Unable to Perform Work</t>
        </is>
      </c>
      <c r="B41" s="10" t="n">
        <v>8</v>
      </c>
    </row>
    <row r="42">
      <c r="A42" s="10" t="inlineStr">
        <is>
          <t>No Response from Customer</t>
        </is>
      </c>
      <c r="B42" s="10" t="n">
        <v>5</v>
      </c>
    </row>
    <row r="43">
      <c r="A43" s="10" t="inlineStr">
        <is>
          <t>Unqualified Lead</t>
        </is>
      </c>
      <c r="B43" s="10" t="n">
        <v>4</v>
      </c>
    </row>
    <row r="44">
      <c r="A44" s="10" t="inlineStr">
        <is>
          <t>No work / No damage</t>
        </is>
      </c>
      <c r="B44" s="10" t="n">
        <v>2</v>
      </c>
    </row>
    <row r="45">
      <c r="A45" s="10" t="inlineStr">
        <is>
          <t>Exceeds Customer Budget</t>
        </is>
      </c>
      <c r="B45" s="10" t="n">
        <v>2</v>
      </c>
    </row>
    <row r="46">
      <c r="A46" s="10" t="inlineStr">
        <is>
          <t>Not profitable</t>
        </is>
      </c>
      <c r="B46" s="10" t="n">
        <v>1</v>
      </c>
    </row>
    <row r="47">
      <c r="A47" s="10" t="inlineStr">
        <is>
          <t>Duplicate</t>
        </is>
      </c>
      <c r="B47" s="10" t="n">
        <v>1</v>
      </c>
    </row>
    <row r="49">
      <c r="A49" s="3" t="inlineStr">
        <is>
          <t>33 losses with a recorded reason. 10 of them were lost to a competitor - a real, addressable signal. The rest are qualification or capacity, not price.</t>
        </is>
      </c>
    </row>
    <row r="50">
      <c r="A50" s="3" t="inlineStr">
        <is>
          <t>Reasons are as recorded on the cancelled/lost list of 2026-08-25, with job 24053 removed: it was marked an unqualified lead, then completed and billed. The CRM does not expose these reasons through its data feed, so the reason split cannot be refreshed automatically.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4"/>
  <sheetViews>
    <sheetView showGridLines="0" workbookViewId="0">
      <selection activeCell="A1" sqref="A1"/>
    </sheetView>
  </sheetViews>
  <sheetFormatPr baseColWidth="8" defaultRowHeight="15"/>
  <cols>
    <col width="12" customWidth="1" min="1" max="1"/>
    <col width="22" customWidth="1" min="2" max="2"/>
    <col width="22" customWidth="1" min="3" max="3"/>
    <col width="16" customWidth="1" min="4" max="4"/>
    <col width="16" customWidth="1" min="5" max="5"/>
    <col width="44" customWidth="1" min="6" max="6"/>
  </cols>
  <sheetData>
    <row r="1">
      <c r="A1" s="1" t="inlineStr">
        <is>
          <t>Data Quality, Method Notes, and What Changed Since 2026-08-25</t>
        </is>
      </c>
    </row>
    <row r="3">
      <c r="A3" s="2" t="inlineStr">
        <is>
          <t>BLOCK 1 - PER-JOB STATUS DELTA, 2026-08-25 vs 2026-09-04</t>
        </is>
      </c>
    </row>
    <row r="4">
      <c r="A4" s="3" t="inlineStr">
        <is>
          <t>Every numbered job whose status, sold amount or membership in the book changed. 21 status changes, 4 sold-amount changes, 4 records new to the book.</t>
        </is>
      </c>
    </row>
    <row r="5">
      <c r="A5" s="9" t="inlineStr">
        <is>
          <t>CRM Job</t>
        </is>
      </c>
      <c r="B5" s="9" t="inlineStr">
        <is>
          <t>Status on 2026-08-25</t>
        </is>
      </c>
      <c r="C5" s="9" t="inlineStr">
        <is>
          <t>Status on 2026-09-04</t>
        </is>
      </c>
      <c r="D5" s="9" t="inlineStr">
        <is>
          <t>Sold on 08-25</t>
        </is>
      </c>
      <c r="E5" s="9" t="inlineStr">
        <is>
          <t>Sold on 09-04</t>
        </is>
      </c>
      <c r="F5" s="9" t="inlineStr">
        <is>
          <t>Effect on the sold-job population</t>
        </is>
      </c>
    </row>
    <row r="6">
      <c r="A6" s="10" t="inlineStr">
        <is>
          <t>24006</t>
        </is>
      </c>
      <c r="B6" s="10" t="inlineStr">
        <is>
          <t>Lead</t>
        </is>
      </c>
      <c r="C6" s="10" t="inlineStr">
        <is>
          <t>Closed - Complete</t>
        </is>
      </c>
      <c r="D6" s="11" t="n">
        <v>32311.67</v>
      </c>
      <c r="E6" s="11" t="n">
        <v>32311.67</v>
      </c>
      <c r="F6" s="12" t="inlineStr">
        <is>
          <t>moved INTO the sold/complete population</t>
        </is>
      </c>
    </row>
    <row r="7">
      <c r="A7" s="10" t="inlineStr">
        <is>
          <t>24007</t>
        </is>
      </c>
      <c r="B7" s="10" t="inlineStr">
        <is>
          <t>Closed - Complete</t>
        </is>
      </c>
      <c r="C7" s="10" t="inlineStr">
        <is>
          <t>Closed - Complete</t>
        </is>
      </c>
      <c r="D7" s="11" t="n">
        <v>78494.27</v>
      </c>
      <c r="E7" s="11" t="n">
        <v>37915.33</v>
      </c>
      <c r="F7" s="12" t="inlineStr">
        <is>
          <t>stays in; contract value revised by $-40,579</t>
        </is>
      </c>
    </row>
    <row r="8">
      <c r="A8" s="10" t="inlineStr">
        <is>
          <t>24012</t>
        </is>
      </c>
      <c r="B8" s="10" t="inlineStr">
        <is>
          <t>Pre-Production</t>
        </is>
      </c>
      <c r="C8" s="10" t="inlineStr">
        <is>
          <t>Closed - Complete</t>
        </is>
      </c>
      <c r="D8" s="11" t="n">
        <v>38234.91</v>
      </c>
      <c r="E8" s="11" t="n">
        <v>30400.81</v>
      </c>
      <c r="F8" s="12" t="inlineStr">
        <is>
          <t>stays in; contract value revised by $-7,834</t>
        </is>
      </c>
    </row>
    <row r="9">
      <c r="A9" s="10" t="inlineStr">
        <is>
          <t>24020</t>
        </is>
      </c>
      <c r="B9" s="10" t="inlineStr">
        <is>
          <t>Lead</t>
        </is>
      </c>
      <c r="C9" s="10" t="inlineStr">
        <is>
          <t>Closed - Complete</t>
        </is>
      </c>
      <c r="D9" s="11" t="n">
        <v>39206.94</v>
      </c>
      <c r="E9" s="11" t="n">
        <v>39206.94</v>
      </c>
      <c r="F9" s="12" t="inlineStr">
        <is>
          <t>moved INTO the sold/complete population</t>
        </is>
      </c>
    </row>
    <row r="10">
      <c r="A10" s="10" t="inlineStr">
        <is>
          <t>24029</t>
        </is>
      </c>
      <c r="B10" s="10" t="inlineStr">
        <is>
          <t>Inspection/Demo</t>
        </is>
      </c>
      <c r="C10" s="10" t="inlineStr">
        <is>
          <t>Closed - Complete</t>
        </is>
      </c>
      <c r="D10" s="11" t="n">
        <v>26951.05</v>
      </c>
      <c r="E10" s="11" t="n">
        <v>26951.05</v>
      </c>
      <c r="F10" s="12" t="inlineStr">
        <is>
          <t>moved INTO the sold/complete population</t>
        </is>
      </c>
    </row>
    <row r="11">
      <c r="A11" s="10" t="inlineStr">
        <is>
          <t>24031</t>
        </is>
      </c>
      <c r="B11" s="10" t="inlineStr">
        <is>
          <t>Inspection/Demo</t>
        </is>
      </c>
      <c r="C11" s="10" t="inlineStr">
        <is>
          <t>Closed - Complete</t>
        </is>
      </c>
      <c r="D11" s="11" t="n">
        <v>178015.44</v>
      </c>
      <c r="E11" s="11" t="n">
        <v>178015.44</v>
      </c>
      <c r="F11" s="12" t="inlineStr">
        <is>
          <t>moved INTO the sold/complete population</t>
        </is>
      </c>
    </row>
    <row r="12">
      <c r="A12" s="10" t="inlineStr">
        <is>
          <t>24032</t>
        </is>
      </c>
      <c r="B12" s="10" t="inlineStr">
        <is>
          <t>Production</t>
        </is>
      </c>
      <c r="C12" s="10" t="inlineStr">
        <is>
          <t>Closed - Complete</t>
        </is>
      </c>
      <c r="D12" s="11" t="n">
        <v>12548.36</v>
      </c>
      <c r="E12" s="11" t="n">
        <v>12548.36</v>
      </c>
      <c r="F12" s="12" t="inlineStr">
        <is>
          <t>no change to the population; status label only</t>
        </is>
      </c>
    </row>
    <row r="13">
      <c r="A13" s="10" t="inlineStr">
        <is>
          <t>24034</t>
        </is>
      </c>
      <c r="B13" s="10" t="inlineStr">
        <is>
          <t>Inspection/Demo</t>
        </is>
      </c>
      <c r="C13" s="10" t="inlineStr">
        <is>
          <t>Closed - Complete</t>
        </is>
      </c>
      <c r="D13" s="11" t="n">
        <v>30614.38</v>
      </c>
      <c r="E13" s="11" t="n">
        <v>30614.38</v>
      </c>
      <c r="F13" s="12" t="inlineStr">
        <is>
          <t>moved INTO the sold/complete population</t>
        </is>
      </c>
    </row>
    <row r="14">
      <c r="A14" s="10" t="inlineStr">
        <is>
          <t>24038</t>
        </is>
      </c>
      <c r="B14" s="10" t="inlineStr">
        <is>
          <t>Inspection/Demo</t>
        </is>
      </c>
      <c r="C14" s="10" t="inlineStr">
        <is>
          <t>Closed - Complete</t>
        </is>
      </c>
      <c r="D14" s="11" t="n">
        <v>22077.1</v>
      </c>
      <c r="E14" s="11" t="n">
        <v>22077.1</v>
      </c>
      <c r="F14" s="12" t="inlineStr">
        <is>
          <t>moved INTO the sold/complete population</t>
        </is>
      </c>
    </row>
    <row r="15">
      <c r="A15" s="10" t="inlineStr">
        <is>
          <t>24041</t>
        </is>
      </c>
      <c r="B15" s="10" t="inlineStr">
        <is>
          <t>Inspection/Demo</t>
        </is>
      </c>
      <c r="C15" s="10" t="inlineStr">
        <is>
          <t>Closed - Complete</t>
        </is>
      </c>
      <c r="D15" s="11" t="n">
        <v>57224.76</v>
      </c>
      <c r="E15" s="11" t="n">
        <v>57224.76</v>
      </c>
      <c r="F15" s="12" t="inlineStr">
        <is>
          <t>moved INTO the sold/complete population</t>
        </is>
      </c>
    </row>
    <row r="16">
      <c r="A16" s="10" t="inlineStr">
        <is>
          <t>24042</t>
        </is>
      </c>
      <c r="B16" s="10" t="inlineStr">
        <is>
          <t>Inspection/Demo</t>
        </is>
      </c>
      <c r="C16" s="10" t="inlineStr">
        <is>
          <t>Closed - Complete</t>
        </is>
      </c>
      <c r="D16" s="11" t="n">
        <v>24700.24</v>
      </c>
      <c r="E16" s="11" t="n">
        <v>24700.24</v>
      </c>
      <c r="F16" s="12" t="inlineStr">
        <is>
          <t>moved INTO the sold/complete population</t>
        </is>
      </c>
    </row>
    <row r="17">
      <c r="A17" s="10" t="inlineStr">
        <is>
          <t>24044</t>
        </is>
      </c>
      <c r="B17" s="10" t="inlineStr">
        <is>
          <t>Inspection/Demo</t>
        </is>
      </c>
      <c r="C17" s="10" t="inlineStr">
        <is>
          <t>Closed - Complete</t>
        </is>
      </c>
      <c r="D17" s="11" t="n">
        <v>102313.65</v>
      </c>
      <c r="E17" s="11" t="n">
        <v>102313.65</v>
      </c>
      <c r="F17" s="12" t="inlineStr">
        <is>
          <t>moved INTO the sold/complete population</t>
        </is>
      </c>
    </row>
    <row r="18">
      <c r="A18" s="10" t="inlineStr">
        <is>
          <t>24047</t>
        </is>
      </c>
      <c r="B18" s="10" t="inlineStr">
        <is>
          <t>Inspection/Demo</t>
        </is>
      </c>
      <c r="C18" s="10" t="inlineStr">
        <is>
          <t>Closed - Complete</t>
        </is>
      </c>
      <c r="D18" s="11" t="n">
        <v>35808.08</v>
      </c>
      <c r="E18" s="11" t="n">
        <v>35808.08</v>
      </c>
      <c r="F18" s="12" t="inlineStr">
        <is>
          <t>moved INTO the sold/complete population</t>
        </is>
      </c>
    </row>
    <row r="19">
      <c r="A19" s="10" t="inlineStr">
        <is>
          <t>24048</t>
        </is>
      </c>
      <c r="B19" s="10" t="inlineStr">
        <is>
          <t>Closed - Complete</t>
        </is>
      </c>
      <c r="C19" s="10" t="inlineStr">
        <is>
          <t>Closed - Complete</t>
        </is>
      </c>
      <c r="D19" s="11" t="n">
        <v>113858.29</v>
      </c>
      <c r="E19" s="11" t="n">
        <v>72044.11</v>
      </c>
      <c r="F19" s="12" t="inlineStr">
        <is>
          <t>stays in; contract value revised by $-41,814</t>
        </is>
      </c>
    </row>
    <row r="20">
      <c r="A20" s="10" t="inlineStr">
        <is>
          <t>24049</t>
        </is>
      </c>
      <c r="B20" s="10" t="inlineStr">
        <is>
          <t>Inspection/Demo</t>
        </is>
      </c>
      <c r="C20" s="10" t="inlineStr">
        <is>
          <t>Closed - Complete</t>
        </is>
      </c>
      <c r="D20" s="11" t="n">
        <v>67089.10000000001</v>
      </c>
      <c r="E20" s="11" t="n">
        <v>67089.10000000001</v>
      </c>
      <c r="F20" s="12" t="inlineStr">
        <is>
          <t>moved INTO the sold/complete population</t>
        </is>
      </c>
    </row>
    <row r="21">
      <c r="A21" s="10" t="inlineStr">
        <is>
          <t>24050</t>
        </is>
      </c>
      <c r="B21" s="10" t="inlineStr">
        <is>
          <t>Lead</t>
        </is>
      </c>
      <c r="C21" s="10" t="inlineStr">
        <is>
          <t>Closed - Complete</t>
        </is>
      </c>
      <c r="D21" s="11" t="n">
        <v>925</v>
      </c>
      <c r="E21" s="11" t="n">
        <v>925</v>
      </c>
      <c r="F21" s="12" t="inlineStr">
        <is>
          <t>moved INTO the sold/complete population</t>
        </is>
      </c>
    </row>
    <row r="22">
      <c r="A22" s="10" t="inlineStr">
        <is>
          <t>24051</t>
        </is>
      </c>
      <c r="B22" s="10" t="inlineStr">
        <is>
          <t>Inspection/Demo</t>
        </is>
      </c>
      <c r="C22" s="10" t="inlineStr">
        <is>
          <t>Closed - Complete</t>
        </is>
      </c>
      <c r="D22" s="11" t="n">
        <v>31510</v>
      </c>
      <c r="E22" s="11" t="n">
        <v>31510</v>
      </c>
      <c r="F22" s="12" t="inlineStr">
        <is>
          <t>moved INTO the sold/complete population</t>
        </is>
      </c>
    </row>
    <row r="23">
      <c r="A23" s="10" t="inlineStr">
        <is>
          <t>24053</t>
        </is>
      </c>
      <c r="B23" s="10" t="inlineStr">
        <is>
          <t>Cancelled</t>
        </is>
      </c>
      <c r="C23" s="10" t="inlineStr">
        <is>
          <t>Closed - Complete</t>
        </is>
      </c>
      <c r="D23" s="11" t="n">
        <v>5424.59</v>
      </c>
      <c r="E23" s="11" t="n">
        <v>5424.59</v>
      </c>
      <c r="F23" s="12" t="inlineStr">
        <is>
          <t>moved INTO the sold/complete population</t>
        </is>
      </c>
    </row>
    <row r="24">
      <c r="A24" s="10" t="inlineStr">
        <is>
          <t>24055</t>
        </is>
      </c>
      <c r="B24" s="10" t="inlineStr">
        <is>
          <t>Inspection/Demo</t>
        </is>
      </c>
      <c r="C24" s="10" t="inlineStr">
        <is>
          <t>Closed - Complete</t>
        </is>
      </c>
      <c r="D24" s="11" t="n">
        <v>22917.73</v>
      </c>
      <c r="E24" s="11" t="n">
        <v>22917.73</v>
      </c>
      <c r="F24" s="12" t="inlineStr">
        <is>
          <t>moved INTO the sold/complete population</t>
        </is>
      </c>
    </row>
    <row r="25">
      <c r="A25" s="10" t="inlineStr">
        <is>
          <t>24059</t>
        </is>
      </c>
      <c r="B25" s="10" t="inlineStr">
        <is>
          <t>Inspection/Demo</t>
        </is>
      </c>
      <c r="C25" s="10" t="inlineStr">
        <is>
          <t>Closed - Complete</t>
        </is>
      </c>
      <c r="D25" s="11" t="n">
        <v>77550.27</v>
      </c>
      <c r="E25" s="11" t="n">
        <v>77550.27</v>
      </c>
      <c r="F25" s="12" t="inlineStr">
        <is>
          <t>moved INTO the sold/complete population</t>
        </is>
      </c>
    </row>
    <row r="26">
      <c r="A26" s="10" t="inlineStr">
        <is>
          <t>24062</t>
        </is>
      </c>
      <c r="B26" s="10" t="inlineStr">
        <is>
          <t>Inspection/Demo</t>
        </is>
      </c>
      <c r="C26" s="10" t="inlineStr">
        <is>
          <t>Closed - Complete</t>
        </is>
      </c>
      <c r="D26" s="11" t="n">
        <v>3464.06</v>
      </c>
      <c r="E26" s="11" t="n">
        <v>3464.06</v>
      </c>
      <c r="F26" s="12" t="inlineStr">
        <is>
          <t>moved INTO the sold/complete population</t>
        </is>
      </c>
    </row>
    <row r="27">
      <c r="A27" s="10" t="inlineStr">
        <is>
          <t>24074</t>
        </is>
      </c>
      <c r="B27" s="10" t="inlineStr">
        <is>
          <t>Inspection/Demo</t>
        </is>
      </c>
      <c r="C27" s="10" t="inlineStr">
        <is>
          <t>Closed - Complete</t>
        </is>
      </c>
      <c r="D27" s="11" t="n">
        <v>47162.63</v>
      </c>
      <c r="E27" s="11" t="n">
        <v>47162.63</v>
      </c>
      <c r="F27" s="12" t="inlineStr">
        <is>
          <t>moved INTO the sold/complete population</t>
        </is>
      </c>
    </row>
    <row r="28">
      <c r="A28" s="10" t="inlineStr">
        <is>
          <t>24079</t>
        </is>
      </c>
      <c r="B28" s="10" t="inlineStr">
        <is>
          <t>Post-Production</t>
        </is>
      </c>
      <c r="C28" s="10" t="inlineStr">
        <is>
          <t>Post-Production</t>
        </is>
      </c>
      <c r="D28" s="11" t="n">
        <v>15911.16</v>
      </c>
      <c r="E28" s="11" t="n">
        <v>18143.85</v>
      </c>
      <c r="F28" s="12" t="inlineStr">
        <is>
          <t>stays in; contract value revised by $2,233</t>
        </is>
      </c>
    </row>
    <row r="29">
      <c r="A29" s="10" t="inlineStr">
        <is>
          <t>24080</t>
        </is>
      </c>
      <c r="B29" s="10" t="inlineStr">
        <is>
          <t>Lead</t>
        </is>
      </c>
      <c r="C29" s="10" t="inlineStr">
        <is>
          <t>Post-Production</t>
        </is>
      </c>
      <c r="D29" s="11" t="n">
        <v>0</v>
      </c>
      <c r="E29" s="11" t="n"/>
      <c r="F29" s="12" t="inlineStr">
        <is>
          <t>moved INTO the sold/complete population</t>
        </is>
      </c>
    </row>
    <row r="30">
      <c r="A30" s="10" t="inlineStr">
        <is>
          <t>24084</t>
        </is>
      </c>
      <c r="B30" s="10" t="inlineStr">
        <is>
          <t>(not in 8/25 book)</t>
        </is>
      </c>
      <c r="C30" s="10" t="inlineStr">
        <is>
          <t>Lead</t>
        </is>
      </c>
      <c r="D30" s="11" t="n"/>
      <c r="E30" s="11" t="n"/>
      <c r="F30" s="12" t="inlineStr">
        <is>
          <t>not a job - prospect record loaded 2026-08-31, excluded everywhere</t>
        </is>
      </c>
    </row>
    <row r="31">
      <c r="A31" s="10" t="inlineStr">
        <is>
          <t>24085</t>
        </is>
      </c>
      <c r="B31" s="10" t="inlineStr">
        <is>
          <t>(not in 8/25 book)</t>
        </is>
      </c>
      <c r="C31" s="10" t="inlineStr">
        <is>
          <t>Production</t>
        </is>
      </c>
      <c r="D31" s="11" t="n"/>
      <c r="E31" s="11" t="n">
        <v>20158</v>
      </c>
      <c r="F31" s="12" t="inlineStr">
        <is>
          <t>ADDED - contract signed 2026-09-01, new to the book</t>
        </is>
      </c>
    </row>
    <row r="32">
      <c r="A32" s="10" t="inlineStr">
        <is>
          <t>24086</t>
        </is>
      </c>
      <c r="B32" s="10" t="inlineStr">
        <is>
          <t>(not in 8/25 book)</t>
        </is>
      </c>
      <c r="C32" s="10" t="inlineStr">
        <is>
          <t>Production</t>
        </is>
      </c>
      <c r="D32" s="11" t="n"/>
      <c r="E32" s="11" t="n">
        <v>16224.53</v>
      </c>
      <c r="F32" s="12" t="inlineStr">
        <is>
          <t>ADDED - contract signed 2026-09-01, new to the book</t>
        </is>
      </c>
    </row>
    <row r="33">
      <c r="A33" s="10" t="inlineStr">
        <is>
          <t>24087</t>
        </is>
      </c>
      <c r="B33" s="10" t="inlineStr">
        <is>
          <t>(not in 8/25 book)</t>
        </is>
      </c>
      <c r="C33" s="10" t="inlineStr">
        <is>
          <t>Contract Signed</t>
        </is>
      </c>
      <c r="D33" s="11" t="n"/>
      <c r="E33" s="11" t="n">
        <v>2888</v>
      </c>
      <c r="F33" s="12" t="inlineStr">
        <is>
          <t>ADDED - contract signed 2026-09-01, new to the book</t>
        </is>
      </c>
    </row>
    <row r="35">
      <c r="A35" s="2" t="inlineStr">
        <is>
          <t>BLOCK 2 - HEADLINE NUMBERS, OLD vs NEW</t>
        </is>
      </c>
    </row>
    <row r="36">
      <c r="A36" s="9" t="inlineStr">
        <is>
          <t>Figure</t>
        </is>
      </c>
      <c r="B36" s="9" t="inlineStr">
        <is>
          <t>2026-09-02 edition</t>
        </is>
      </c>
      <c r="C36" s="9" t="inlineStr">
        <is>
          <t>2026-09-04 edition</t>
        </is>
      </c>
      <c r="D36" s="27" t="inlineStr">
        <is>
          <t>Why it moved</t>
        </is>
      </c>
    </row>
    <row r="37">
      <c r="A37" s="28" t="inlineStr">
        <is>
          <t>Sold jobs in the average</t>
        </is>
      </c>
      <c r="B37" s="10" t="inlineStr">
        <is>
          <t>77</t>
        </is>
      </c>
      <c r="C37" s="29" t="inlineStr">
        <is>
          <t>80</t>
        </is>
      </c>
      <c r="D37" s="30" t="inlineStr">
        <is>
          <t>three jobs signed 2026-09-01 joined the book</t>
        </is>
      </c>
    </row>
    <row r="38">
      <c r="A38" s="28" t="inlineStr">
        <is>
          <t>Average (mean) job value</t>
        </is>
      </c>
      <c r="B38" s="10" t="inlineStr">
        <is>
          <t>$31,705</t>
        </is>
      </c>
      <c r="C38" s="29" t="inlineStr">
        <is>
          <t>$29,907</t>
        </is>
      </c>
      <c r="D38" s="30" t="inlineStr">
        <is>
          <t>the three new jobs are all below the old mean, and three older contracts were revised down</t>
        </is>
      </c>
    </row>
    <row r="39">
      <c r="A39" s="28" t="inlineStr">
        <is>
          <t>Median job value</t>
        </is>
      </c>
      <c r="B39" s="10" t="inlineStr">
        <is>
          <t>$22,077</t>
        </is>
      </c>
      <c r="C39" s="29" t="inlineStr">
        <is>
          <t>$21,245</t>
        </is>
      </c>
      <c r="D39" s="30" t="inlineStr">
        <is>
          <t>same causes; the median is far less sensitive</t>
        </is>
      </c>
    </row>
    <row r="40">
      <c r="A40" s="28" t="inlineStr">
        <is>
          <t>Total contract value in the average</t>
        </is>
      </c>
      <c r="B40" s="10" t="inlineStr">
        <is>
          <t>$2,441,252</t>
        </is>
      </c>
      <c r="C40" s="29" t="inlineStr">
        <is>
          <t>$2,392,528</t>
        </is>
      </c>
      <c r="D40" s="30" t="inlineStr">
        <is>
          <t>net of -$87,994 in contract revisions and +$39,271 of newly signed work</t>
        </is>
      </c>
    </row>
    <row r="41">
      <c r="A41" s="28" t="inlineStr">
        <is>
          <t>Retail mean job value</t>
        </is>
      </c>
      <c r="B41" s="10" t="inlineStr">
        <is>
          <t>$18,565</t>
        </is>
      </c>
      <c r="C41" s="29" t="inlineStr">
        <is>
          <t>$18,090</t>
        </is>
      </c>
      <c r="D41" s="30" t="inlineStr">
        <is>
          <t>one new retail job at $2,888 pulls it down</t>
        </is>
      </c>
    </row>
    <row r="42">
      <c r="A42" s="28" t="inlineStr">
        <is>
          <t>Insurance mean job value</t>
        </is>
      </c>
      <c r="B42" s="10" t="inlineStr">
        <is>
          <t>$41,048</t>
        </is>
      </c>
      <c r="C42" s="29" t="inlineStr">
        <is>
          <t>$38,203</t>
        </is>
      </c>
      <c r="D42" s="30" t="inlineStr">
        <is>
          <t>two new insurance jobs at $20,158 and $16,225, plus the contract revisions</t>
        </is>
      </c>
    </row>
    <row r="43">
      <c r="A43" s="28" t="inlineStr">
        <is>
          <t>Jobs with a captured labor cost</t>
        </is>
      </c>
      <c r="B43" s="10" t="inlineStr">
        <is>
          <t>8</t>
        </is>
      </c>
      <c r="C43" s="29" t="inlineStr">
        <is>
          <t>8</t>
        </is>
      </c>
      <c r="D43" s="30" t="inlineStr">
        <is>
          <t>unchanged - no new cost capture; see BLOCK 4</t>
        </is>
      </c>
    </row>
    <row r="44">
      <c r="A44" s="28" t="inlineStr">
        <is>
          <t>Median measured gross margin</t>
        </is>
      </c>
      <c r="B44" s="10" t="inlineStr">
        <is>
          <t>40.3%</t>
        </is>
      </c>
      <c r="C44" s="29" t="inlineStr">
        <is>
          <t>40.3%</t>
        </is>
      </c>
      <c r="D44" s="30" t="inlineStr">
        <is>
          <t>unchanged - none of the 8 costed jobs changed</t>
        </is>
      </c>
    </row>
    <row r="45">
      <c r="A45" s="28" t="inlineStr">
        <is>
          <t>Jobs with a verified square count</t>
        </is>
      </c>
      <c r="B45" s="10" t="inlineStr">
        <is>
          <t>26</t>
        </is>
      </c>
      <c r="C45" s="29" t="inlineStr">
        <is>
          <t>26</t>
        </is>
      </c>
      <c r="D45" s="30" t="inlineStr">
        <is>
          <t>unchanged - squares come from a manual export, not the data feed</t>
        </is>
      </c>
    </row>
    <row r="46">
      <c r="A46" s="28" t="inlineStr">
        <is>
          <t>Median material cost / square</t>
        </is>
      </c>
      <c r="B46" s="10" t="inlineStr">
        <is>
          <t>$181</t>
        </is>
      </c>
      <c r="C46" s="29" t="inlineStr">
        <is>
          <t>$180</t>
        </is>
      </c>
      <c r="D46" s="30" t="inlineStr">
        <is>
          <t>basis tightened to 4+ square roofing jobs; the old Summary quoted a range of $165-$201 that its own detail tab contradicted</t>
        </is>
      </c>
    </row>
    <row r="47">
      <c r="A47" s="28" t="inlineStr">
        <is>
          <t>Median revenue / square, retail roofing</t>
        </is>
      </c>
      <c r="B47" s="10" t="inlineStr">
        <is>
          <t>$542</t>
        </is>
      </c>
      <c r="C47" s="29" t="inlineStr">
        <is>
          <t>$542</t>
        </is>
      </c>
      <c r="D47" s="30" t="inlineStr">
        <is>
          <t>unchanged - none of the six retail roofing jobs changed</t>
        </is>
      </c>
    </row>
    <row r="48">
      <c r="A48" s="28" t="inlineStr">
        <is>
          <t>Directional disposition rate</t>
        </is>
      </c>
      <c r="B48" s="10" t="inlineStr">
        <is>
          <t>70%</t>
        </is>
      </c>
      <c r="C48" s="29" t="inlineStr">
        <is>
          <t>71%</t>
        </is>
      </c>
      <c r="D48" s="30" t="inlineStr">
        <is>
          <t>job 24053 moved from cancelled to completed; three new sold jobs</t>
        </is>
      </c>
    </row>
    <row r="50">
      <c r="A50" s="2" t="inlineStr">
        <is>
          <t>BLOCK 3 - EXCLUSIONS, RE-EXAMINED ON THE LIVE DATA</t>
        </is>
      </c>
    </row>
    <row r="51">
      <c r="A51" s="9" t="inlineStr">
        <is>
          <t>CRM Job</t>
        </is>
      </c>
      <c r="B51" s="9" t="inlineStr">
        <is>
          <t>Sold $</t>
        </is>
      </c>
      <c r="C51" s="9" t="inlineStr">
        <is>
          <t>2026-09-02 treatment</t>
        </is>
      </c>
      <c r="D51" s="9" t="inlineStr">
        <is>
          <t>2026-09-04 ruling</t>
        </is>
      </c>
    </row>
    <row r="52" ht="46" customHeight="1">
      <c r="A52" s="10" t="inlineStr">
        <is>
          <t>24026</t>
        </is>
      </c>
      <c r="B52" s="11" t="n">
        <v>799536.87</v>
      </c>
      <c r="C52" s="30" t="inlineStr">
        <is>
          <t>excluded as a phantom receivable, 582 days unpaid</t>
        </is>
      </c>
      <c r="D52" s="31" t="inlineStr">
        <is>
          <t>STILL EXCLUDED, BUT THE OLD REASON IS WRONG. The CRM now shows this job fully received as of 2026-08-27. It is not a phantom receivable. It is held out because at 25x the median it is a commercial job that would distort a residential marketing average, and it is reported on its own line instead.</t>
        </is>
      </c>
    </row>
    <row r="53" ht="46" customHeight="1">
      <c r="A53" s="10" t="inlineStr">
        <is>
          <t>24000</t>
        </is>
      </c>
      <c r="B53" s="11" t="n"/>
      <c r="C53" s="30" t="inlineStr">
        <is>
          <t>excluded, zero sold</t>
        </is>
      </c>
      <c r="D53" s="31" t="inlineStr">
        <is>
          <t>STILL EXCLUDED. Cancelled, zero sold, untouched since 2024.</t>
        </is>
      </c>
    </row>
    <row r="54" ht="46" customHeight="1">
      <c r="A54" s="10" t="inlineStr">
        <is>
          <t>24027</t>
        </is>
      </c>
      <c r="B54" s="11" t="n"/>
      <c r="C54" s="30" t="inlineStr">
        <is>
          <t>excluded, zero sold</t>
        </is>
      </c>
      <c r="D54" s="31" t="inlineStr">
        <is>
          <t>STILL EXCLUDED. Closed - Complete but zero sold and zero received.</t>
        </is>
      </c>
    </row>
    <row r="55" ht="46" customHeight="1">
      <c r="A55" s="10" t="inlineStr">
        <is>
          <t>24046</t>
        </is>
      </c>
      <c r="B55" s="11" t="n"/>
      <c r="C55" s="30" t="inlineStr">
        <is>
          <t>excluded, zero sold</t>
        </is>
      </c>
      <c r="D55" s="31" t="inlineStr">
        <is>
          <t>STILL EXCLUDED. Closed - Complete but zero sold and zero received.</t>
        </is>
      </c>
    </row>
    <row r="56" ht="46" customHeight="1">
      <c r="A56" s="10" t="inlineStr">
        <is>
          <t>24080</t>
        </is>
      </c>
      <c r="B56" s="11" t="n"/>
      <c r="C56" s="30" t="inlineStr">
        <is>
          <t>excluded, zero sold</t>
        </is>
      </c>
      <c r="D56" s="31" t="inlineStr">
        <is>
          <t>STILL EXCLUDED from value stats, but it MOVED from Lead to Post-Production and it carries a 30-square material order. Work appears to have been done with no contract value recorded against it. Worth a look.</t>
        </is>
      </c>
    </row>
    <row r="57" ht="46" customHeight="1">
      <c r="A57" s="10" t="inlineStr">
        <is>
          <t>24081</t>
        </is>
      </c>
      <c r="B57" s="11" t="n"/>
      <c r="C57" s="30" t="inlineStr">
        <is>
          <t>excluded, zero sold</t>
        </is>
      </c>
      <c r="D57" s="31" t="inlineStr">
        <is>
          <t>STILL EXCLUDED. Still a Lead, but carries a 48-square material order - same question as 24080.</t>
        </is>
      </c>
    </row>
    <row r="58" ht="46" customHeight="1">
      <c r="A58" s="10" t="inlineStr">
        <is>
          <t>24082</t>
        </is>
      </c>
      <c r="B58" s="11" t="n"/>
      <c r="C58" s="30" t="inlineStr">
        <is>
          <t>excluded, zero sold</t>
        </is>
      </c>
      <c r="D58" s="31" t="inlineStr">
        <is>
          <t>STILL EXCLUDED. Still a Lead, zero sold.</t>
        </is>
      </c>
    </row>
    <row r="59" ht="46" customHeight="1">
      <c r="A59" s="10" t="inlineStr">
        <is>
          <t>24084</t>
        </is>
      </c>
      <c r="B59" s="11" t="n"/>
      <c r="C59" s="30" t="inlineStr">
        <is>
          <t>did not exist in the book</t>
        </is>
      </c>
      <c r="D59" s="31" t="inlineStr">
        <is>
          <t>EXCLUDED as a non-job. Created 2026-08-31 inside the commercial prospect load; it is a target-list record that happened to be assigned a job number.</t>
        </is>
      </c>
    </row>
    <row r="61">
      <c r="A61" s="2" t="inlineStr">
        <is>
          <t>BLOCK 4 - METHOD AND KNOWN GAPS</t>
        </is>
      </c>
    </row>
    <row r="62">
      <c r="A62" s="32" t="inlineStr"/>
    </row>
    <row r="63" ht="59" customHeight="1">
      <c r="A63" s="33" t="inlineStr">
        <is>
          <t>HOW FRESH IS THIS. The job status, sold amount, received amount and balance on every tab come from a live pull of the CRM on 2026-09-04 08:49:01 (890 requests, read-only). The previous edition used a status snapshot taken 2026-08-25; 21 of 84 jobs had changed status in between, which is exactly the problem this rebuild was ordered to fix.</t>
        </is>
      </c>
    </row>
    <row r="64">
      <c r="A64" s="32" t="inlineStr"/>
    </row>
    <row r="65" ht="59" customHeight="1">
      <c r="A65" s="33" t="inlineStr">
        <is>
          <t>WHAT IS STILL FROM 2026-08-25. Three things have no equivalent in the CRM's data feed and still come from the manual export of 2026-08-25: the square counts, the captured job costs behind the Measured Margin tab, and the cancellation reasons. They are labeled wherever they appear. Refreshing them means re-running those exports by hand.</t>
        </is>
      </c>
    </row>
    <row r="66">
      <c r="A66" s="32" t="inlineStr"/>
    </row>
    <row r="67" ht="74" customHeight="1">
      <c r="A67" s="33" t="inlineStr">
        <is>
          <t>SQUARES (the unit). A roofing square is 100 square feet. The CRM has no square field anywhere. The square counts here come from the material-order line items, where the shingle line Quantity column is in squares. That unit reading is confirmed three independent ways: underlayment coverage ratio of about 1.10; contract dollars per square landing in a sane range; and three material orders whose free-text description states the square count outright ("20sqr", "33.66", "51.66") - all three match the export exactly. 26 jobs carry a shingle square count.</t>
        </is>
      </c>
    </row>
    <row r="68">
      <c r="A68" s="32" t="inlineStr"/>
    </row>
    <row r="69" ht="44" customHeight="1">
      <c r="A69" s="33" t="inlineStr">
        <is>
          <t>REVENUE. The sold amount on the contract - the contract or claim value, not cash collected. On insurance jobs it covers the whole claim (roof, siding, gutters, code and overhead-and-profit), which is why insurance revenue per square runs far above retail. That is not a roof price.</t>
        </is>
      </c>
    </row>
    <row r="70">
      <c r="A70" s="32" t="inlineStr"/>
    </row>
    <row r="71" ht="59" customHeight="1">
      <c r="A71" s="33" t="inlineStr">
        <is>
          <t>MATERIAL COST. Sum of the material-order estimate amounts, matched to each job by the material-order reference number, pulled live 2026-09-04. Identical to the 2026-09-02 figures - no material order changed. The actual-cost field is zero on every order in the system, so the estimate is the best available material figure. On roofing-and-siding jobs it includes siding material, so material per roof square reads high on those.</t>
        </is>
      </c>
    </row>
    <row r="72">
      <c r="A72" s="32" t="inlineStr"/>
    </row>
    <row r="73" ht="59" customHeight="1">
      <c r="A73" s="33" t="inlineStr">
        <is>
          <t>LABOR COST. Captured on only 8 jobs, and none of those 8 carries a square count. The two sets do not intersect at all. That is the single biggest gap in the data: no individual job carries revenue, material, labor and squares together, so a true net-margin-per-square curve cannot be drawn for anybody.</t>
        </is>
      </c>
    </row>
    <row r="74">
      <c r="A74" s="32" t="inlineStr"/>
    </row>
    <row r="75" ht="59" customHeight="1">
      <c r="A75" s="33" t="inlineStr">
        <is>
          <t>WHY THE LABOR SET DID NOT GROW. The CRM does hold labor cost fields on the work order. Of the 70 work orders on file at 2026-09-04, 1 carries an estimated labor cost and 0 carry an actual one. Job expenses are not available through the data feed at all. So this is not a refresh problem - the number was never entered. One field on the work order, filled at close-out, would fix it.</t>
        </is>
      </c>
    </row>
    <row r="76">
      <c r="A76" s="32" t="inlineStr"/>
    </row>
    <row r="77">
      <c r="A77" s="33" t="inlineStr">
        <is>
          <t>WHAT IS DERIVED RATHER THAN OBSERVED (labeled wherever it appears):</t>
        </is>
      </c>
    </row>
    <row r="78">
      <c r="A78" s="33" t="inlineStr">
        <is>
          <t xml:space="preserve">  - Contribution after material = revenue minus material. It is NOT gross margin; labor is still inside it.</t>
        </is>
      </c>
    </row>
    <row r="79">
      <c r="A79" s="33" t="inlineStr">
        <is>
          <t xml:space="preserve">  - The 71% directional disposition rate on the Close Rate tab is a loose bound, not a measured close rate.</t>
        </is>
      </c>
    </row>
    <row r="80">
      <c r="A80" s="33" t="inlineStr">
        <is>
          <t xml:space="preserve">  - Median material cost per square and revenue per square are measured from the jobs listed on the detail tabs, not modeled.</t>
        </is>
      </c>
    </row>
    <row r="81">
      <c r="A81" s="32" t="inlineStr"/>
    </row>
    <row r="82" ht="74" customHeight="1">
      <c r="A82" s="33" t="inlineStr">
        <is>
          <t>A CORRECTION TO THE 2026-09-02 EDITION. Its Summary tab stated a material cost of $181 per square with a range of $165 to $201, while its own detail tab computed a range of $165 to $273 on the same jobs. It also quoted an all-trades revenue range on one set of jobs and the median on a different set. Both figures were typed by hand rather than computed. In this edition every headline number on the Summary tab is computed from the rows the detail tabs list, so the two cannot disagree.</t>
        </is>
      </c>
    </row>
    <row r="83">
      <c r="A83" s="32" t="inlineStr"/>
    </row>
    <row r="84" ht="59" customHeight="1">
      <c r="A84" s="33" t="inlineStr">
        <is>
          <t>COUNTS AS AT 2026-09-04: 88 numbered jobs in the book | 81 with a sold amount | 80 in the headline average (job 24026 held out) | 7 with zero sold | 26 with a square count | 24 with both a square count and revenue | 23 of those at 4+ squares | 8 with a captured labor cost | 0 with squares and labor together.</t>
        </is>
      </c>
    </row>
  </sheetData>
  <mergeCells count="31">
    <mergeCell ref="A84:F84"/>
    <mergeCell ref="A66:F66"/>
    <mergeCell ref="A80:F80"/>
    <mergeCell ref="A75:F75"/>
    <mergeCell ref="A74:F74"/>
    <mergeCell ref="D53:F53"/>
    <mergeCell ref="A71:F71"/>
    <mergeCell ref="A76:F76"/>
    <mergeCell ref="D56:F56"/>
    <mergeCell ref="D58:F58"/>
    <mergeCell ref="A62:F62"/>
    <mergeCell ref="A72:F72"/>
    <mergeCell ref="D55:F55"/>
    <mergeCell ref="A81:F81"/>
    <mergeCell ref="A63:F63"/>
    <mergeCell ref="A68:F68"/>
    <mergeCell ref="D54:F54"/>
    <mergeCell ref="A67:F67"/>
    <mergeCell ref="A83:F83"/>
    <mergeCell ref="D59:F59"/>
    <mergeCell ref="A77:F77"/>
    <mergeCell ref="A64:F64"/>
    <mergeCell ref="A73:F73"/>
    <mergeCell ref="A82:F82"/>
    <mergeCell ref="A70:F70"/>
    <mergeCell ref="A79:F79"/>
    <mergeCell ref="D52:F52"/>
    <mergeCell ref="A78:F78"/>
    <mergeCell ref="A69:F69"/>
    <mergeCell ref="D57:F57"/>
    <mergeCell ref="A65:F6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2026-09-04T14:01:24Z</dcterms:created>
  <dcterms:modified xmlns:dcterms="http://purl.org/dc/terms/" xmlns:xsi="http://www.w3.org/2001/XMLSchema-instance" xsi:type="dcterms:W3CDTF">2026-09-04T14:01:24Z</dcterms:modified>
</cp:coreProperties>
</file>